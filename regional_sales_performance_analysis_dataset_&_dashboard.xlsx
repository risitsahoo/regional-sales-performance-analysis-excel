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5.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2.xml" ContentType="application/vnd.openxmlformats-officedocument.spreadsheetml.table+xml"/>
  <Override PartName="/xl/drawings/drawing13.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F:\EME Academy data analysis document\Excel EME\"/>
    </mc:Choice>
  </mc:AlternateContent>
  <xr:revisionPtr revIDLastSave="0" documentId="13_ncr:1_{987ECB56-48E5-4F09-9592-7D7A4EA6CB43}" xr6:coauthVersionLast="47" xr6:coauthVersionMax="47" xr10:uidLastSave="{00000000-0000-0000-0000-000000000000}"/>
  <bookViews>
    <workbookView xWindow="-108" yWindow="-108" windowWidth="23256" windowHeight="12456" firstSheet="6" activeTab="14" xr2:uid="{00000000-000D-0000-FFFF-FFFF00000000}"/>
  </bookViews>
  <sheets>
    <sheet name="kpis" sheetId="3" r:id="rId1"/>
    <sheet name="bar" sheetId="8" r:id="rId2"/>
    <sheet name="Discount" sheetId="14" r:id="rId3"/>
    <sheet name="promotion " sheetId="13" r:id="rId4"/>
    <sheet name="Region pie" sheetId="5" r:id="rId5"/>
    <sheet name="Return item" sheetId="16" r:id="rId6"/>
    <sheet name="Manager bar" sheetId="7" r:id="rId7"/>
    <sheet name="salesman" sheetId="11" r:id="rId8"/>
    <sheet name="donut" sheetId="10" r:id="rId9"/>
    <sheet name="store sales" sheetId="12" r:id="rId10"/>
    <sheet name="sales trend" sheetId="4" r:id="rId11"/>
    <sheet name="Detail1" sheetId="9" r:id="rId12"/>
    <sheet name="payment" sheetId="17" r:id="rId13"/>
    <sheet name="Sheet1" sheetId="1" r:id="rId14"/>
    <sheet name="Dashboard" sheetId="19" r:id="rId15"/>
  </sheets>
  <definedNames>
    <definedName name="Slicer_CustomerType">#N/A</definedName>
    <definedName name="Slicer_Product">#N/A</definedName>
    <definedName name="Slicer_Region">#N/A</definedName>
    <definedName name="Slicer_Years__Dat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7" i="3" l="1"/>
  <c r="H17" i="3"/>
  <c r="B17" i="3"/>
  <c r="E17" i="3"/>
</calcChain>
</file>

<file path=xl/sharedStrings.xml><?xml version="1.0" encoding="utf-8"?>
<sst xmlns="http://schemas.openxmlformats.org/spreadsheetml/2006/main" count="16542" uniqueCount="2948">
  <si>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</si>
  <si>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</si>
  <si>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</si>
  <si>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</si>
  <si>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</si>
  <si>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</si>
  <si>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</si>
  <si>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</si>
  <si>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</si>
  <si>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</si>
  <si>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</si>
  <si>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</si>
  <si>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</si>
  <si>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</si>
  <si>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</si>
  <si>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</si>
  <si>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</si>
  <si>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</si>
  <si>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</si>
  <si>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</si>
  <si>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</si>
  <si>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</si>
  <si>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</si>
  <si>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</si>
  <si>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</si>
  <si>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</si>
  <si>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</si>
  <si>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</si>
  <si>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</si>
  <si>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</si>
  <si>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</si>
  <si>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</si>
  <si>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</si>
  <si>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</si>
  <si>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</si>
  <si>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</si>
  <si>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</si>
  <si>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</si>
  <si>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</si>
  <si>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</si>
  <si>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</si>
  <si>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</si>
  <si>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</si>
  <si>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</si>
  <si>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</si>
  <si>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</si>
  <si>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</si>
  <si>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</si>
  <si>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</si>
  <si>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</si>
  <si>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</si>
  <si>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</si>
  <si>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</si>
  <si>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</si>
  <si>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</si>
  <si>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</si>
  <si>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</si>
  <si>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</si>
  <si>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</si>
  <si>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</si>
  <si>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</si>
  <si>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</si>
  <si>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</si>
  <si>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</si>
  <si>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</si>
  <si>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</si>
  <si>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</si>
  <si>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</si>
  <si>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</si>
  <si>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</si>
  <si>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</si>
  <si>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</si>
  <si>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</si>
  <si>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</si>
  <si>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</si>
  <si>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</si>
  <si>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</si>
  <si>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</si>
  <si>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</si>
  <si>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</si>
  <si>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</si>
  <si>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</si>
  <si>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</si>
  <si>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</si>
  <si>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</si>
  <si>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</si>
  <si>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</si>
  <si>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</si>
  <si>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</si>
  <si>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</si>
  <si>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</si>
  <si>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</si>
  <si>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</si>
  <si>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</si>
  <si>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</si>
  <si>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</si>
  <si>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</si>
  <si>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</si>
  <si>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</si>
  <si>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</si>
  <si>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</si>
  <si>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</si>
  <si>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</si>
  <si>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</si>
  <si>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</si>
  <si>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</si>
  <si>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</si>
  <si>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</si>
  <si>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</si>
  <si>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</si>
  <si>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</si>
  <si>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</si>
  <si>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</si>
  <si>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</si>
  <si>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</si>
  <si>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</si>
  <si>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</si>
  <si>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</si>
  <si>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</si>
  <si>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</si>
  <si>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</si>
  <si>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</si>
  <si>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</si>
  <si>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</si>
  <si>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</si>
  <si>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</si>
  <si>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</si>
  <si>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</si>
  <si>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</si>
  <si>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</si>
  <si>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</si>
  <si>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</si>
  <si>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</si>
  <si>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</si>
  <si>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</si>
  <si>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</si>
  <si>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</si>
  <si>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</si>
  <si>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</si>
  <si>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</si>
  <si>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</si>
  <si>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</si>
  <si>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</si>
  <si>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</si>
  <si>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</si>
  <si>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</si>
  <si>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</si>
  <si>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</si>
  <si>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</si>
  <si>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</si>
  <si>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</si>
  <si>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</si>
  <si>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</si>
  <si>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</si>
  <si>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</si>
  <si>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</si>
  <si>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</si>
  <si>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</si>
  <si>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</si>
  <si>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</si>
  <si>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</si>
  <si>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</si>
  <si>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</si>
  <si>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</si>
  <si>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</si>
  <si>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</si>
  <si>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</si>
  <si>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</si>
  <si>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</si>
  <si>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</si>
  <si>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</si>
  <si>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</si>
  <si>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</si>
  <si>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</si>
  <si>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</si>
  <si>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</si>
  <si>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</si>
  <si>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</si>
  <si>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</si>
  <si>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</si>
  <si>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</si>
  <si>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</si>
  <si>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</si>
  <si>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</si>
  <si>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</si>
  <si>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</si>
  <si>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</si>
  <si>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</si>
  <si>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</si>
  <si>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</si>
  <si>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</si>
  <si>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</si>
  <si>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</si>
  <si>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</si>
  <si>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</si>
  <si>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</si>
  <si>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</si>
  <si>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</si>
  <si>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</si>
  <si>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</si>
  <si>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</si>
  <si>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</si>
  <si>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</si>
  <si>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</si>
  <si>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</si>
  <si>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</si>
  <si>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</si>
  <si>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</si>
  <si>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</si>
  <si>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</si>
  <si>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</si>
  <si>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</si>
  <si>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</si>
  <si>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</si>
  <si>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</si>
  <si>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</si>
  <si>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</si>
  <si>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</si>
  <si>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</si>
  <si>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</si>
  <si>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</si>
  <si>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</si>
  <si>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</si>
  <si>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</si>
  <si>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</si>
  <si>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</si>
  <si>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</si>
  <si>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</si>
  <si>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</si>
  <si>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</si>
  <si>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</si>
  <si>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</si>
  <si>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</si>
  <si>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</si>
  <si>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</si>
  <si>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</si>
  <si>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</si>
  <si>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</si>
  <si>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</si>
  <si>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</si>
  <si>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</si>
  <si>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</si>
  <si>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</si>
  <si>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</si>
  <si>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</si>
  <si>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</si>
  <si>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</si>
  <si>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</si>
  <si>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</si>
  <si>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</si>
  <si>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</si>
  <si>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</si>
  <si>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</si>
  <si>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</si>
  <si>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</si>
  <si>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</si>
  <si>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</si>
  <si>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</si>
  <si>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</si>
  <si>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</si>
  <si>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</si>
  <si>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</si>
  <si>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</si>
  <si>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</si>
  <si>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</si>
  <si>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</si>
  <si>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</si>
  <si>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</si>
  <si>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</si>
  <si>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</si>
  <si>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</si>
  <si>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</si>
  <si>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</si>
  <si>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</si>
  <si>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</si>
  <si>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</si>
  <si>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</si>
  <si>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</si>
  <si>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</si>
  <si>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</si>
  <si>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</si>
  <si>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</si>
  <si>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</si>
  <si>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</si>
  <si>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</si>
  <si>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</si>
  <si>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</si>
  <si>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</si>
  <si>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</si>
  <si>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</si>
  <si>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</si>
  <si>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</si>
  <si>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</si>
  <si>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</si>
  <si>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</si>
  <si>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</si>
  <si>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</si>
  <si>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</si>
  <si>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</si>
  <si>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</si>
  <si>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</si>
  <si>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</si>
  <si>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</si>
  <si>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</si>
  <si>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</si>
  <si>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</si>
  <si>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</si>
  <si>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</si>
  <si>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</si>
  <si>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</si>
  <si>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</si>
  <si>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</si>
  <si>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</si>
  <si>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</si>
  <si>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</si>
  <si>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</si>
  <si>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</si>
  <si>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</si>
  <si>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</si>
  <si>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</si>
  <si>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</si>
  <si>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</si>
  <si>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</si>
  <si>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</si>
  <si>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</si>
  <si>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</si>
  <si>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</si>
  <si>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</si>
  <si>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</si>
  <si>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</si>
  <si>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</si>
  <si>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</si>
  <si>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</si>
  <si>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</si>
  <si>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</si>
  <si>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</si>
  <si>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</si>
  <si>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</si>
  <si>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</si>
  <si>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</si>
  <si>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</si>
  <si>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</si>
  <si>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</si>
  <si>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</si>
  <si>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</si>
  <si>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</si>
  <si>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</si>
  <si>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</si>
  <si>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</si>
  <si>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</si>
  <si>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</si>
  <si>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</si>
  <si>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</si>
  <si>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</si>
  <si>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</si>
  <si>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</si>
  <si>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</si>
  <si>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</si>
  <si>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</si>
  <si>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</si>
  <si>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</si>
  <si>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</si>
  <si>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</si>
  <si>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</si>
  <si>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</si>
  <si>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</si>
  <si>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</si>
  <si>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</si>
  <si>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</si>
  <si>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</si>
  <si>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</si>
  <si>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</si>
  <si>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</si>
  <si>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</si>
  <si>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</si>
  <si>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</si>
  <si>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</si>
  <si>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</si>
  <si>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</si>
  <si>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</si>
  <si>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</si>
  <si>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</si>
  <si>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</si>
  <si>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</si>
  <si>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</si>
  <si>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</si>
  <si>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</si>
  <si>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</si>
  <si>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</si>
  <si>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</si>
  <si>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</si>
  <si>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</si>
  <si>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</si>
  <si>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</si>
  <si>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</si>
  <si>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</si>
  <si>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</si>
  <si>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</si>
  <si>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</si>
  <si>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</si>
  <si>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</si>
  <si>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</si>
  <si>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</si>
  <si>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</si>
  <si>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</si>
  <si>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</si>
  <si>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</si>
  <si>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</si>
  <si>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</si>
  <si>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</si>
  <si>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</si>
  <si>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</si>
  <si>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</si>
  <si>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</si>
  <si>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</si>
  <si>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</si>
  <si>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</si>
  <si>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</si>
  <si>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</si>
  <si>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</si>
  <si>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</si>
  <si>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</si>
  <si>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</si>
  <si>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</si>
  <si>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</si>
  <si>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</si>
  <si>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</si>
  <si>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</si>
  <si>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</si>
  <si>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</si>
  <si>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</si>
  <si>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</si>
  <si>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</si>
  <si>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</si>
  <si>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</si>
  <si>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</si>
  <si>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</si>
  <si>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</si>
  <si>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</si>
  <si>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</si>
  <si>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</si>
  <si>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</si>
  <si>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</si>
  <si>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</si>
  <si>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</si>
  <si>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</si>
  <si>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</si>
  <si>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</si>
  <si>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</si>
  <si>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</si>
  <si>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</si>
  <si>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</si>
  <si>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</si>
  <si>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</si>
  <si>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</si>
  <si>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</si>
  <si>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</si>
  <si>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</si>
  <si>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</si>
  <si>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</si>
  <si>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</si>
  <si>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</si>
  <si>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</si>
  <si>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</si>
  <si>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</si>
  <si>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</si>
  <si>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</si>
  <si>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</si>
  <si>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</si>
  <si>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</si>
  <si>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</si>
  <si>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</si>
  <si>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</si>
  <si>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</si>
  <si>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</si>
  <si>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</si>
  <si>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</si>
  <si>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</si>
  <si>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</si>
  <si>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</si>
  <si>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</si>
  <si>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</si>
  <si>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</si>
  <si>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</si>
  <si>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</si>
  <si>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</si>
  <si>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</si>
  <si>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</si>
  <si>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</si>
  <si>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</si>
  <si>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</si>
  <si>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</si>
  <si>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</si>
  <si>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</si>
  <si>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</si>
  <si>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</si>
  <si>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</si>
  <si>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</si>
  <si>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</si>
  <si>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</si>
  <si>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</si>
  <si>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</si>
  <si>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</si>
  <si>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</si>
  <si>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</si>
  <si>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</si>
  <si>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</si>
  <si>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</si>
  <si>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</si>
  <si>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</si>
  <si>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</si>
  <si>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</si>
  <si>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</si>
  <si>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</si>
  <si>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</si>
  <si>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</si>
  <si>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</si>
  <si>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</si>
  <si>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</si>
  <si>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</si>
  <si>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</si>
  <si>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</si>
  <si>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</si>
  <si>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</si>
  <si>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</si>
  <si>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</si>
  <si>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</si>
  <si>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</si>
  <si>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</si>
  <si>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</si>
  <si>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</si>
  <si>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</si>
  <si>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</si>
  <si>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</si>
  <si>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</si>
  <si>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</si>
  <si>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</si>
  <si>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</si>
  <si>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</si>
  <si>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</si>
  <si>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</si>
  <si>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</si>
  <si>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</si>
  <si>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</si>
  <si>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</si>
  <si>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</si>
  <si>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</si>
  <si>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</si>
  <si>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</si>
  <si>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</si>
  <si>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</si>
  <si>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</si>
  <si>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</si>
  <si>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</si>
  <si>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</si>
  <si>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</si>
  <si>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</si>
  <si>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</si>
  <si>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</si>
  <si>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</si>
  <si>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</si>
  <si>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</si>
  <si>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</si>
  <si>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</si>
  <si>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</si>
  <si>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</si>
  <si>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</si>
  <si>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</si>
  <si>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</si>
  <si>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</si>
  <si>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</si>
  <si>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</si>
  <si>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</si>
  <si>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</si>
  <si>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</si>
  <si>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</si>
  <si>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</si>
  <si>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</si>
  <si>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</si>
  <si>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</si>
  <si>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</si>
  <si>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</si>
  <si>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</si>
  <si>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</si>
  <si>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</si>
  <si>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</si>
  <si>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</si>
  <si>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</si>
  <si>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</si>
  <si>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</si>
  <si>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</si>
  <si>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</si>
  <si>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</si>
  <si>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</si>
  <si>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</si>
  <si>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</si>
  <si>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</si>
  <si>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</si>
  <si>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</si>
  <si>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</si>
  <si>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</si>
  <si>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</si>
  <si>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</si>
  <si>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</si>
  <si>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</si>
  <si>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</si>
  <si>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</si>
  <si>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</si>
  <si>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</si>
  <si>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</si>
  <si>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</si>
  <si>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</si>
  <si>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</si>
  <si>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</si>
  <si>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</si>
  <si>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</si>
  <si>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</si>
  <si>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</si>
  <si>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</si>
  <si>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</si>
  <si>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</si>
  <si>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</si>
  <si>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</si>
  <si>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</si>
  <si>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</si>
  <si>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</si>
  <si>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</si>
  <si>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</si>
  <si>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</si>
  <si>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</si>
  <si>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</si>
  <si>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</si>
  <si>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</si>
  <si>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</si>
  <si>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</si>
  <si>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</si>
  <si>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</si>
  <si>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</si>
  <si>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</si>
  <si>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</si>
  <si>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</si>
  <si>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</si>
  <si>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</si>
  <si>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</si>
  <si>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</si>
  <si>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</si>
  <si>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</si>
  <si>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</si>
  <si>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</si>
  <si>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</si>
  <si>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</si>
  <si>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</si>
  <si>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</si>
  <si>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</si>
  <si>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</si>
  <si>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</si>
  <si>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</si>
  <si>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</si>
  <si>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</si>
  <si>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</si>
  <si>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</si>
  <si>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</si>
  <si>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</si>
  <si>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</si>
  <si>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</si>
  <si>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</si>
  <si>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</si>
  <si>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</si>
  <si>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</si>
  <si>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</si>
  <si>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</si>
  <si>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</si>
  <si>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</si>
  <si>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</si>
  <si>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</si>
  <si>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</si>
  <si>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</si>
  <si>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</si>
  <si>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</si>
  <si>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</si>
  <si>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</si>
  <si>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</si>
  <si>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</si>
  <si>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</si>
  <si>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</si>
  <si>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</si>
  <si>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</si>
  <si>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</si>
  <si>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</si>
  <si>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</si>
  <si>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</si>
  <si>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</si>
  <si>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</si>
  <si>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</si>
  <si>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</si>
  <si>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</si>
  <si>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</si>
  <si>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</si>
  <si>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</si>
  <si>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</si>
  <si>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</si>
  <si>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</si>
  <si>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</si>
  <si>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</si>
  <si>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</si>
  <si>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</si>
  <si>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</si>
  <si>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</si>
  <si>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</si>
  <si>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</si>
  <si>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</si>
  <si>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</si>
  <si>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</si>
  <si>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</si>
  <si>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</si>
  <si>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</si>
  <si>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</si>
  <si>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</si>
  <si>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</si>
  <si>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</si>
  <si>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</si>
  <si>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</si>
  <si>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</si>
  <si>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</si>
  <si>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</si>
  <si>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</si>
  <si>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</si>
  <si>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</si>
  <si>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</si>
  <si>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</si>
  <si>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</si>
  <si>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</si>
  <si>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</si>
  <si>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</si>
  <si>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</si>
  <si>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</si>
  <si>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</si>
  <si>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</si>
  <si>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</si>
  <si>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</si>
  <si>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</si>
  <si>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</si>
  <si>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</si>
  <si>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</si>
  <si>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</si>
  <si>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</si>
  <si>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</si>
  <si>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</si>
  <si>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</si>
  <si>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</si>
  <si>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</si>
  <si>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</si>
  <si>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</si>
  <si>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</si>
  <si>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</si>
  <si>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</si>
  <si>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</si>
  <si>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</si>
  <si>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</si>
  <si>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</si>
  <si>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</si>
  <si>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</si>
  <si>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</si>
  <si>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</si>
  <si>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</si>
  <si>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</si>
  <si>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</si>
  <si>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</si>
  <si>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</si>
  <si>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</si>
  <si>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</si>
  <si>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</si>
  <si>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</si>
  <si>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</si>
  <si>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</si>
  <si>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</si>
  <si>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</si>
  <si>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</si>
  <si>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</si>
  <si>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</si>
  <si>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</si>
  <si>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</si>
  <si>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</si>
  <si>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</si>
  <si>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</si>
  <si>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</si>
  <si>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</si>
  <si>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</si>
  <si>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</si>
  <si>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</si>
  <si>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</si>
  <si>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</si>
  <si>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</si>
  <si>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</si>
  <si>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</si>
  <si>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</si>
  <si>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</si>
  <si>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</si>
  <si>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</si>
  <si>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</si>
  <si>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</si>
  <si>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</si>
  <si>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</si>
  <si>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</si>
  <si>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</si>
  <si>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</si>
  <si>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</si>
  <si>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</si>
  <si>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</si>
  <si>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</si>
  <si>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</si>
  <si>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</si>
  <si>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</si>
  <si>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</si>
  <si>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</si>
  <si>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</si>
  <si>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</si>
  <si>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</si>
  <si>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</si>
  <si>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</si>
  <si>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</si>
  <si>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</si>
  <si>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</si>
  <si>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</si>
  <si>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</si>
  <si>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</si>
  <si>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</si>
  <si>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</si>
  <si>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</si>
  <si>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</si>
  <si>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</si>
  <si>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</si>
  <si>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</si>
  <si>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</si>
  <si>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</si>
  <si>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</si>
  <si>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</si>
  <si>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</si>
  <si>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</si>
  <si>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</si>
  <si>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</si>
  <si>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</si>
  <si>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</si>
  <si>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</si>
  <si>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</si>
  <si>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</si>
  <si>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</si>
  <si>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</si>
  <si>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</si>
  <si>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</si>
  <si>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</si>
  <si>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</si>
  <si>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</si>
  <si>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</si>
  <si>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</si>
  <si>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</si>
  <si>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</si>
  <si>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</si>
  <si>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</si>
  <si>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</si>
  <si>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</si>
  <si>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</si>
  <si>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</si>
  <si>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</si>
  <si>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</si>
  <si>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</si>
  <si>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</si>
  <si>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</si>
  <si>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</si>
  <si>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</si>
  <si>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</si>
  <si>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</si>
  <si>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</si>
  <si>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</si>
  <si>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</si>
  <si>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</si>
  <si>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</si>
  <si>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</si>
  <si>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</si>
  <si>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</si>
  <si>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</si>
  <si>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</si>
  <si>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</si>
  <si>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</si>
  <si>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</si>
  <si>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</si>
  <si>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</si>
  <si>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</si>
  <si>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</si>
  <si>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</si>
  <si>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</si>
  <si>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</si>
  <si>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</si>
  <si>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</si>
  <si>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</si>
  <si>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</si>
  <si>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</si>
  <si>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</si>
  <si>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</si>
  <si>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</si>
  <si>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</si>
  <si>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</si>
  <si>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</si>
  <si>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</si>
  <si>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</si>
  <si>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</si>
  <si>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</si>
  <si>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</si>
  <si>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</si>
  <si>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</si>
  <si>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</si>
  <si>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</si>
  <si>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</si>
  <si>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</si>
  <si>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</si>
  <si>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</si>
  <si>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</si>
  <si>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</si>
  <si>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</si>
  <si>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</si>
  <si>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</si>
  <si>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</si>
  <si>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</si>
  <si>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</si>
  <si>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</si>
  <si>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</si>
  <si>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</si>
  <si>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</si>
  <si>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</si>
  <si>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</si>
  <si>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</si>
  <si>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</si>
  <si>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</si>
  <si>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</si>
  <si>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</si>
  <si>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</si>
  <si>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</si>
  <si>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</si>
  <si>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</si>
  <si>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</si>
  <si>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</si>
  <si>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</si>
  <si>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</si>
  <si>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</si>
  <si>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</si>
  <si>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</si>
  <si>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</si>
  <si>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</si>
  <si>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</si>
  <si>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</si>
  <si>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</si>
  <si>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</si>
  <si>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</si>
  <si>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</si>
  <si>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</si>
  <si>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</si>
  <si>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</si>
  <si>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</si>
  <si>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</si>
  <si>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</si>
  <si>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</si>
  <si>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</si>
  <si>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</si>
  <si>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</si>
  <si>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</si>
  <si>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</si>
  <si>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</si>
  <si>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</si>
  <si>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</si>
  <si>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</si>
  <si>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</si>
  <si>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</si>
  <si>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</si>
  <si>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</si>
  <si>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</si>
  <si>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</si>
  <si>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</si>
  <si>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</si>
  <si>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</si>
  <si>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</si>
  <si>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</si>
  <si>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</si>
  <si>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</si>
  <si>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</si>
  <si>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</si>
  <si>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</si>
  <si>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</si>
  <si>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</si>
  <si>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</si>
  <si>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</si>
  <si>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</si>
  <si>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</si>
  <si>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</si>
  <si>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</si>
  <si>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</si>
  <si>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</si>
  <si>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</si>
  <si>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</si>
  <si>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</si>
  <si>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</si>
  <si>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</si>
  <si>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</si>
  <si>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</si>
  <si>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</si>
  <si>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</si>
  <si>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</si>
  <si>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</si>
  <si>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</si>
  <si>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</si>
  <si>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</si>
  <si>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</si>
  <si>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</si>
  <si>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</si>
  <si>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</si>
  <si>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</si>
  <si>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</si>
  <si>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</si>
  <si>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</si>
  <si>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</si>
  <si>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</si>
  <si>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</si>
  <si>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</si>
  <si>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</si>
  <si>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</si>
  <si>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</si>
  <si>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</si>
  <si>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</si>
  <si>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</si>
  <si>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</si>
  <si>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</si>
  <si>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</si>
  <si>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</si>
  <si>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</si>
  <si>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</si>
  <si>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</si>
  <si>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</si>
  <si>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</si>
  <si>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</si>
  <si>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</si>
  <si>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</si>
  <si>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</si>
  <si>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</si>
  <si>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</si>
  <si>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</si>
  <si>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</si>
  <si>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</si>
  <si>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</si>
  <si>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</si>
  <si>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</si>
  <si>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</si>
  <si>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</si>
  <si>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</si>
  <si>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</si>
  <si>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</si>
  <si>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</si>
  <si>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</si>
  <si>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</si>
  <si>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</si>
  <si>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</si>
  <si>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</si>
  <si>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</si>
  <si>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</si>
  <si>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</si>
  <si>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</si>
  <si>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</si>
  <si>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</si>
  <si>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</si>
  <si>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</si>
  <si>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</si>
  <si>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</si>
  <si>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</si>
  <si>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</si>
  <si>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</si>
  <si>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</si>
  <si>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</si>
  <si>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</si>
  <si>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</si>
  <si>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</si>
  <si>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</si>
  <si>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</si>
  <si>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</si>
  <si>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</si>
  <si>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</si>
  <si>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</si>
  <si>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</si>
  <si>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</si>
  <si>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</si>
  <si>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</si>
  <si>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</si>
  <si>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</si>
  <si>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</si>
  <si>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</si>
  <si>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</si>
  <si>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</si>
  <si>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</si>
  <si>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</si>
  <si>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</si>
  <si>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</si>
  <si>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</si>
  <si>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</si>
  <si>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</si>
  <si>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</si>
  <si>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</si>
  <si>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</si>
  <si>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</si>
  <si>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</si>
  <si>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</si>
  <si>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</si>
  <si>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</si>
  <si>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</si>
  <si>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</si>
  <si>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</si>
  <si>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</si>
  <si>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</si>
  <si>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</si>
  <si>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</si>
  <si>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</si>
  <si>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</si>
  <si>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</si>
  <si>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</si>
  <si>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</si>
  <si>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</si>
  <si>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</si>
  <si>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</si>
  <si>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</si>
  <si>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</si>
  <si>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</si>
  <si>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</si>
  <si>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</si>
  <si>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</si>
  <si>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</si>
  <si>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</si>
  <si>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</si>
  <si>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</si>
  <si>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</si>
  <si>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</si>
  <si>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</si>
  <si>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</si>
  <si>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</si>
  <si>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</si>
  <si>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</si>
  <si>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</si>
  <si>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</si>
  <si>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</si>
  <si>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</si>
  <si>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</si>
  <si>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</si>
  <si>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</si>
  <si>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</si>
  <si>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</si>
  <si>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</si>
  <si>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</si>
  <si>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</si>
  <si>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</si>
  <si>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</si>
  <si>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</si>
  <si>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</si>
  <si>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</si>
  <si>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</si>
  <si>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</si>
  <si>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</si>
  <si>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</si>
  <si>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</si>
  <si>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</si>
  <si>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</si>
  <si>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</si>
  <si>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</si>
  <si>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</si>
  <si>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</si>
  <si>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</si>
  <si>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</si>
  <si>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</si>
  <si>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</si>
  <si>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</si>
  <si>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</si>
  <si>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</si>
  <si>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</si>
  <si>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</si>
  <si>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</si>
  <si>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</si>
  <si>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</si>
  <si>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</si>
  <si>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</si>
  <si>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</si>
  <si>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</si>
  <si>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</si>
  <si>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</si>
  <si>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</si>
  <si>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</si>
  <si>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</si>
  <si>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</si>
  <si>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</si>
  <si>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</si>
  <si>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</si>
  <si>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</si>
  <si>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</si>
  <si>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</si>
  <si>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</si>
  <si>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</si>
  <si>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</si>
  <si>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</si>
  <si>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</si>
  <si>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</si>
  <si>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</si>
  <si>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</si>
  <si>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</si>
  <si>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</si>
  <si>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</si>
  <si>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</si>
  <si>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</si>
  <si>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</si>
  <si>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</si>
  <si>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</si>
  <si>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</si>
  <si>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</si>
  <si>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</si>
  <si>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</si>
  <si>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</si>
  <si>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</si>
  <si>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</si>
  <si>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</si>
  <si>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</si>
  <si>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</si>
  <si>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</si>
  <si>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</si>
  <si>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</si>
  <si>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</si>
  <si>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</si>
  <si>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</si>
  <si>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</si>
  <si>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</si>
  <si>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</si>
  <si>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</si>
  <si>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</si>
  <si>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</si>
  <si>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</si>
  <si>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</si>
  <si>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</si>
  <si>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</si>
  <si>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</si>
  <si>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</si>
  <si>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</si>
  <si>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</si>
  <si>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</si>
  <si>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</si>
  <si>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</si>
  <si>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</si>
  <si>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</si>
  <si>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</si>
  <si>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</si>
  <si>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</si>
  <si>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</si>
  <si>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</si>
  <si>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</si>
  <si>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</si>
  <si>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</si>
  <si>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</si>
  <si>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</si>
  <si>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</si>
  <si>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</si>
  <si>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</si>
  <si>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</si>
  <si>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</si>
  <si>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</si>
  <si>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</si>
  <si>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</si>
  <si>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</si>
  <si>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</si>
  <si>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</si>
  <si>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</si>
  <si>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</si>
  <si>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</si>
  <si>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</si>
  <si>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</si>
  <si>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</si>
  <si>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</si>
  <si>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</si>
  <si>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</si>
  <si>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</si>
  <si>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</si>
  <si>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</si>
  <si>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</si>
  <si>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</si>
  <si>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</si>
  <si>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</si>
  <si>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</si>
  <si>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</si>
  <si>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</si>
  <si>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</si>
  <si>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</si>
  <si>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</si>
  <si>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</si>
  <si>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</si>
  <si>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</si>
  <si>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</si>
  <si>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</si>
  <si>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</si>
  <si>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</si>
  <si>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</si>
  <si>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</si>
  <si>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</si>
  <si>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</si>
  <si>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</si>
  <si>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</si>
  <si>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</si>
  <si>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</si>
  <si>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</si>
  <si>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</si>
  <si>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</si>
  <si>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</si>
  <si>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</si>
  <si>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</si>
  <si>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</si>
  <si>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</si>
  <si>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</si>
  <si>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</si>
  <si>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</si>
  <si>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</si>
  <si>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</si>
  <si>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</si>
  <si>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</si>
  <si>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</si>
  <si>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</si>
  <si>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</si>
  <si>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</si>
  <si>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</si>
  <si>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</si>
  <si>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</si>
  <si>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</si>
  <si>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</si>
  <si>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</si>
  <si>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</si>
  <si>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</si>
  <si>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</si>
  <si>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</si>
  <si>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</si>
  <si>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</si>
  <si>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</si>
  <si>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</si>
  <si>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</si>
  <si>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</si>
  <si>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</si>
  <si>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</si>
  <si>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</si>
  <si>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</si>
  <si>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</si>
  <si>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</si>
  <si>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</si>
  <si>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</si>
  <si>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</si>
  <si>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</si>
  <si>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</si>
  <si>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</si>
  <si>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</si>
  <si>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</si>
  <si>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</si>
  <si>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</si>
  <si>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</si>
  <si>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</si>
  <si>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</si>
  <si>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</si>
  <si>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</si>
  <si>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</si>
  <si>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</si>
  <si>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</si>
  <si>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</si>
  <si>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</si>
  <si>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</si>
  <si>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</si>
  <si>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</si>
  <si>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</si>
  <si>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</si>
  <si>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</si>
  <si>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</si>
  <si>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</si>
  <si>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</si>
  <si>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</si>
  <si>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</si>
  <si>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</si>
  <si>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</si>
  <si>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</si>
  <si>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</si>
  <si>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</si>
  <si>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</si>
  <si>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</si>
  <si>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</si>
  <si>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</si>
  <si>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</si>
  <si>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</si>
  <si>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</si>
  <si>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</si>
  <si>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</si>
  <si>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</si>
  <si>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</si>
  <si>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</si>
  <si>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</si>
  <si>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</si>
  <si>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</si>
  <si>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</si>
  <si>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</si>
  <si>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</si>
  <si>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</si>
  <si>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</si>
  <si>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</si>
  <si>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</si>
  <si>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</si>
  <si>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</si>
  <si>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</si>
  <si>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</si>
  <si>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</si>
  <si>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</si>
  <si>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</si>
  <si>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</si>
  <si>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</si>
  <si>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</si>
  <si>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</si>
  <si>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</si>
  <si>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</si>
  <si>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</si>
  <si>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</si>
  <si>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</si>
  <si>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</si>
  <si>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</si>
  <si>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</si>
  <si>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</si>
  <si>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</si>
  <si>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</si>
  <si>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</si>
  <si>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</si>
  <si>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</si>
  <si>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</si>
  <si>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</si>
  <si>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</si>
  <si>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</si>
  <si>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</si>
  <si>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</si>
  <si>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</si>
  <si>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</si>
  <si>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</si>
  <si>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</si>
  <si>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</si>
  <si>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</si>
  <si>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</si>
  <si>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</si>
  <si>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</si>
  <si>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</si>
  <si>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</si>
  <si>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</si>
  <si>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</si>
  <si>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</si>
  <si>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</si>
  <si>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</si>
  <si>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</si>
  <si>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</si>
  <si>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</si>
  <si>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</si>
  <si>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</si>
  <si>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</si>
  <si>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</si>
  <si>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</si>
  <si>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</si>
  <si>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</si>
  <si>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</si>
  <si>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</si>
  <si>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</si>
  <si>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</si>
  <si>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</si>
  <si>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</si>
  <si>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</si>
  <si>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</si>
  <si>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</si>
  <si>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</si>
  <si>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</si>
  <si>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</si>
  <si>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</si>
  <si>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</si>
  <si>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</si>
  <si>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</si>
  <si>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</si>
  <si>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</si>
  <si>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</si>
  <si>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</si>
  <si>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</si>
  <si>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</si>
  <si>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</si>
  <si>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</si>
  <si>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</si>
  <si>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</si>
  <si>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</si>
  <si>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</si>
  <si>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</si>
  <si>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</si>
  <si>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</si>
  <si>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</si>
  <si>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</si>
  <si>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</si>
  <si>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</si>
  <si>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</si>
  <si>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</si>
  <si>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</si>
  <si>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</si>
  <si>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</si>
  <si>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</si>
  <si>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</si>
  <si>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</si>
  <si>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</si>
  <si>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</si>
  <si>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</si>
  <si>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</si>
  <si>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</si>
  <si>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</si>
  <si>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</si>
  <si>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</si>
  <si>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</si>
  <si>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</si>
  <si>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</si>
  <si>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</si>
  <si>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</si>
  <si>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</si>
  <si>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</si>
  <si>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</si>
  <si>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</si>
  <si>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</si>
  <si>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</si>
  <si>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</si>
  <si>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</si>
  <si>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</si>
  <si>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</si>
  <si>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</si>
  <si>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</si>
  <si>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</si>
  <si>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</si>
  <si>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</si>
  <si>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</si>
  <si>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</si>
  <si>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</si>
  <si>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</si>
  <si>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</si>
  <si>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</si>
  <si>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</si>
  <si>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</si>
  <si>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</si>
  <si>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</si>
  <si>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</si>
  <si>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</si>
  <si>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</si>
  <si>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</si>
  <si>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</si>
  <si>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</si>
  <si>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</si>
  <si>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</si>
  <si>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</si>
  <si>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</si>
  <si>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</si>
  <si>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</si>
  <si>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</si>
  <si>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</si>
  <si>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</si>
  <si>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</si>
  <si>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</si>
  <si>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</si>
  <si>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</si>
  <si>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</si>
  <si>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</si>
  <si>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</si>
  <si>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</si>
  <si>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</si>
  <si>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</si>
  <si>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</si>
  <si>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</si>
  <si>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</si>
  <si>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</si>
  <si>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</si>
  <si>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</si>
  <si>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</si>
  <si>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</si>
  <si>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</si>
  <si>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</si>
  <si>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</si>
  <si>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</si>
  <si>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</si>
  <si>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</si>
  <si>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</si>
  <si>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</si>
  <si>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</si>
  <si>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</si>
  <si>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</si>
  <si>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</si>
  <si>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</si>
  <si>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</si>
  <si>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</si>
  <si>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</si>
  <si>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</si>
  <si>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</si>
  <si>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</si>
  <si>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</si>
  <si>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</si>
  <si>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</si>
  <si>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</si>
  <si>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</si>
  <si>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</si>
  <si>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</si>
  <si>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</si>
  <si>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</si>
  <si>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</si>
  <si>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</si>
  <si>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</si>
  <si>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</si>
  <si>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</si>
  <si>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</si>
  <si>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</si>
  <si>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</si>
  <si>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</si>
  <si>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</si>
  <si>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</si>
  <si>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</si>
  <si>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</si>
  <si>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</si>
  <si>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</si>
  <si>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</si>
  <si>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</si>
  <si>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</si>
  <si>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</si>
  <si>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</si>
  <si>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</si>
  <si>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</si>
  <si>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</si>
  <si>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</si>
  <si>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</si>
  <si>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</si>
  <si>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</si>
  <si>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</si>
  <si>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</si>
  <si>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</si>
  <si>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</si>
  <si>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</si>
  <si>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</si>
  <si>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</si>
  <si>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</si>
  <si>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</si>
  <si>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</si>
  <si>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</si>
  <si>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</si>
  <si>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</si>
  <si>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</si>
  <si>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</si>
  <si>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</si>
  <si>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</si>
  <si>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</si>
  <si>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</si>
  <si>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</si>
  <si>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</si>
  <si>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</si>
  <si>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</si>
  <si>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</si>
  <si>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</si>
  <si>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</si>
  <si>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</si>
  <si>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</si>
  <si>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</si>
  <si>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</si>
  <si>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</si>
  <si>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</si>
  <si>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</si>
  <si>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</si>
  <si>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</si>
  <si>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</si>
  <si>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</si>
  <si>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</si>
  <si>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</si>
  <si>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</si>
  <si>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</si>
  <si>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</si>
  <si>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</si>
  <si>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</si>
  <si>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</si>
  <si>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</si>
  <si>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</si>
  <si>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</si>
  <si>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</si>
  <si>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</si>
  <si>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</si>
  <si>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</si>
  <si>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</si>
  <si>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</si>
  <si>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</si>
  <si>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</si>
  <si>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</si>
  <si>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</si>
  <si>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</si>
  <si>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</si>
  <si>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</si>
  <si>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</si>
  <si>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</si>
  <si>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</si>
  <si>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</si>
  <si>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</si>
  <si>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</si>
  <si>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</si>
  <si>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</si>
  <si>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</si>
  <si>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</si>
  <si>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</si>
  <si>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</si>
  <si>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</si>
  <si>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</si>
  <si>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</si>
  <si>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</si>
  <si>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</si>
  <si>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</si>
  <si>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</si>
  <si>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</si>
  <si>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</si>
  <si>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</si>
  <si>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</si>
  <si>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</si>
  <si>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</si>
  <si>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</si>
  <si>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</si>
  <si>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</si>
  <si>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</si>
  <si>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</si>
  <si>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</si>
  <si>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</si>
  <si>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</si>
  <si>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</si>
  <si>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</si>
  <si>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</si>
  <si>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</si>
  <si>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</si>
  <si>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</si>
  <si>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</si>
  <si>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</si>
  <si>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</si>
  <si>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</si>
  <si>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</si>
  <si>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</si>
  <si>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</si>
  <si>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</si>
  <si>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</si>
  <si>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</si>
  <si>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</si>
  <si>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</si>
  <si>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</si>
  <si>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</si>
  <si>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</si>
  <si>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</si>
  <si>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</si>
  <si>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</si>
  <si>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</si>
  <si>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</si>
  <si>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</si>
  <si>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</si>
  <si>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</si>
  <si>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</si>
  <si>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</si>
  <si>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</si>
  <si>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</si>
  <si>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</si>
  <si>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</si>
  <si>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</si>
  <si>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</si>
  <si>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</si>
  <si>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</si>
  <si>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</si>
  <si>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</si>
  <si>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</si>
  <si>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</si>
  <si>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</si>
  <si>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</si>
  <si>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</si>
  <si>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</si>
  <si>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</si>
  <si>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</si>
  <si>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</si>
  <si>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</si>
  <si>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</si>
  <si>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</si>
  <si>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</si>
  <si>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</si>
  <si>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</si>
  <si>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</si>
  <si>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</si>
  <si>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</si>
  <si>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</si>
  <si>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</si>
  <si>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</si>
  <si>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</si>
  <si>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</si>
  <si>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</si>
  <si>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</si>
  <si>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</si>
  <si>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</si>
  <si>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</si>
  <si>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</si>
  <si>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</si>
  <si>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</si>
  <si>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</si>
  <si>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</si>
  <si>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</si>
  <si>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</si>
  <si>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</si>
  <si>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</si>
  <si>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</si>
  <si>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</si>
  <si>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</si>
  <si>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</si>
  <si>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</si>
  <si>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</si>
  <si>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</si>
  <si>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</si>
  <si>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</si>
  <si>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</si>
  <si>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</si>
  <si>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</si>
  <si>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</si>
  <si>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</si>
  <si>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</si>
  <si>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</si>
  <si>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</si>
  <si>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</si>
  <si>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</si>
  <si>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</si>
  <si>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</si>
  <si>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</si>
  <si>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</si>
  <si>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</si>
  <si>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</si>
  <si>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</si>
  <si>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</si>
  <si>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</si>
  <si>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</si>
  <si>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</si>
  <si>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</si>
  <si>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</si>
  <si>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</si>
  <si>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</si>
  <si>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</si>
  <si>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</si>
  <si>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</si>
  <si>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</si>
  <si>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</si>
  <si>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</si>
  <si>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</si>
  <si>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</si>
  <si>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</si>
  <si>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</si>
  <si>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</si>
  <si>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</si>
  <si>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</si>
  <si>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</si>
  <si>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</si>
  <si>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</si>
  <si>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</si>
  <si>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</si>
  <si>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</si>
  <si>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</si>
  <si>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</si>
  <si>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</si>
  <si>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</si>
  <si>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</si>
  <si>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</si>
  <si>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</si>
  <si>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</si>
  <si>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</si>
  <si>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</si>
  <si>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</si>
  <si>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</si>
  <si>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</si>
  <si>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</si>
  <si>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</si>
  <si>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</si>
  <si>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</si>
  <si>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</si>
  <si>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</si>
  <si>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</si>
  <si>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</si>
  <si>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</si>
  <si>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</si>
  <si>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</si>
  <si>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</si>
  <si>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</si>
  <si>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</si>
  <si>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</si>
  <si>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</si>
  <si>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</si>
  <si>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</si>
  <si>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</si>
  <si>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</si>
  <si>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</si>
  <si>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</si>
  <si>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</si>
  <si>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</si>
  <si>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</si>
  <si>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</si>
  <si>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</si>
  <si>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</si>
  <si>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</si>
  <si>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</si>
  <si>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</si>
  <si>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</si>
  <si>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</si>
  <si>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</si>
  <si>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</si>
  <si>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</si>
  <si>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</si>
  <si>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</si>
  <si>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</si>
  <si>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</si>
  <si>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</si>
  <si>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</si>
  <si>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</si>
  <si>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</si>
  <si>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</si>
  <si>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</si>
  <si>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</si>
  <si>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</si>
  <si>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</si>
  <si>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</si>
  <si>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</si>
  <si>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</si>
  <si>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</si>
  <si>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</si>
  <si>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</si>
  <si>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</si>
  <si>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</si>
  <si>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</si>
  <si>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</si>
  <si>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</si>
  <si>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</si>
  <si>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</si>
  <si>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</si>
  <si>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</si>
  <si>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</si>
  <si>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</si>
  <si>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</si>
  <si>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</si>
  <si>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</si>
  <si>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</si>
  <si>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</si>
  <si>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</si>
  <si>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</si>
  <si>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</si>
  <si>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</si>
  <si>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</si>
  <si>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</si>
  <si>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</si>
  <si>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</si>
  <si>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</si>
  <si>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</si>
  <si>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</si>
  <si>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</si>
  <si>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</si>
  <si>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</si>
  <si>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</si>
  <si>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</si>
  <si>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</si>
  <si>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</si>
  <si>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</si>
  <si>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</si>
  <si>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</si>
  <si>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</si>
  <si>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</si>
  <si>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</si>
  <si>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</si>
  <si>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</si>
  <si>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</si>
  <si>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</si>
  <si>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</si>
  <si>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</si>
  <si>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</si>
  <si>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</si>
  <si>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</si>
  <si>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</si>
  <si>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</si>
  <si>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</si>
  <si>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</si>
  <si>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</si>
  <si>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</si>
  <si>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</si>
  <si>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</si>
  <si>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</si>
  <si>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</si>
  <si>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</si>
  <si>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</si>
  <si>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</si>
  <si>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</si>
  <si>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</si>
  <si>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</si>
  <si>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</si>
  <si>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</si>
  <si>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</si>
  <si>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</si>
  <si>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</si>
  <si>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</si>
  <si>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</si>
  <si>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</si>
  <si>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</si>
  <si>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</si>
  <si>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</si>
  <si>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</si>
  <si>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</si>
  <si>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</si>
  <si>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</si>
  <si>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</si>
  <si>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</si>
  <si>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</si>
  <si>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</si>
  <si>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</si>
  <si>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</si>
  <si>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</si>
  <si>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</si>
  <si>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</si>
  <si>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</si>
  <si>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</si>
  <si>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</si>
  <si>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</si>
  <si>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</si>
  <si>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</si>
  <si>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</si>
  <si>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</si>
  <si>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</si>
  <si>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</si>
  <si>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</si>
  <si>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</si>
  <si>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</si>
  <si>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</si>
  <si>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</si>
  <si>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</si>
  <si>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</si>
  <si>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</si>
  <si>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</si>
  <si>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</si>
  <si>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</si>
  <si>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</si>
  <si>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</si>
  <si>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</si>
  <si>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</si>
  <si>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</si>
  <si>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</si>
  <si>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</si>
  <si>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</si>
  <si>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</si>
  <si>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</si>
  <si>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</si>
  <si>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</si>
  <si>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</si>
  <si>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</si>
  <si>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</si>
  <si>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</si>
  <si>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</si>
  <si>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</si>
  <si>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</si>
  <si>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</si>
  <si>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</si>
  <si>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</si>
  <si>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</si>
  <si>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</si>
  <si>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</si>
  <si>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</si>
  <si>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</si>
  <si>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</si>
  <si>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</si>
  <si>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</si>
  <si>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</si>
  <si>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</si>
  <si>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</si>
  <si>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</si>
  <si>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</si>
  <si>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</si>
  <si>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</si>
  <si>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</si>
  <si>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</si>
  <si>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</si>
  <si>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</si>
  <si>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</si>
  <si>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</si>
  <si>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</si>
  <si>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</si>
  <si>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</si>
  <si>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</si>
  <si>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</si>
  <si>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</si>
  <si>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</si>
  <si>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</si>
  <si>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</si>
  <si>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</si>
  <si>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</si>
  <si>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</si>
  <si>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</si>
  <si>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</si>
  <si>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</si>
  <si>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</si>
  <si>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</si>
  <si>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</si>
  <si>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</si>
  <si>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</si>
  <si>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</si>
  <si>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</si>
  <si>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</si>
  <si>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</si>
  <si>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</si>
  <si>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</si>
  <si>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</si>
  <si>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</si>
  <si>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</si>
  <si>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</si>
  <si>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</si>
  <si>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</si>
  <si>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</si>
  <si>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</si>
  <si>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</si>
  <si>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</si>
  <si>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</si>
  <si>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</si>
  <si>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</si>
  <si>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</si>
  <si>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</si>
  <si>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</si>
  <si>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</si>
  <si>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</si>
  <si>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</si>
  <si>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</si>
  <si>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</si>
  <si>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</si>
  <si>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</si>
  <si>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</si>
  <si>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</si>
  <si>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</si>
  <si>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</si>
  <si>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</si>
  <si>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</si>
  <si>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</si>
  <si>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</si>
  <si>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</si>
  <si>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</si>
  <si>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</si>
  <si>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</si>
  <si>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</si>
  <si>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</si>
  <si>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</si>
  <si>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</si>
  <si>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</si>
  <si>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</si>
  <si>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</si>
  <si>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</si>
  <si>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</si>
  <si>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</si>
  <si>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</si>
  <si>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</si>
  <si>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</si>
  <si>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</si>
  <si>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</si>
  <si>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</si>
  <si>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</si>
  <si>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</si>
  <si>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</si>
  <si>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</si>
  <si>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</si>
  <si>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</si>
  <si>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</si>
  <si>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</si>
  <si>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</si>
  <si>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</si>
  <si>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</si>
  <si>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</si>
  <si>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</si>
  <si>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</si>
  <si>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</si>
  <si>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</si>
  <si>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</si>
  <si>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</si>
  <si>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</si>
  <si>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</si>
  <si>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</si>
  <si>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</si>
  <si>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</si>
  <si>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</si>
  <si>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</si>
  <si>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</si>
  <si>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</si>
  <si>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</si>
  <si>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</si>
  <si>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</si>
  <si>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</si>
  <si>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</si>
  <si>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</si>
  <si>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</si>
  <si>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</si>
  <si>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</si>
  <si>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</si>
  <si>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</si>
  <si>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</si>
  <si>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</si>
  <si>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</si>
  <si>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</si>
  <si>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</si>
  <si>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</si>
  <si>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</si>
  <si>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</si>
  <si>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</si>
  <si>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</si>
  <si>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</si>
  <si>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</si>
  <si>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</si>
  <si>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</si>
  <si>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</si>
  <si>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</si>
  <si>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</si>
  <si>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</si>
  <si>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</si>
  <si>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</si>
  <si>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</si>
  <si>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</si>
  <si>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</si>
  <si>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</si>
  <si>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</si>
  <si>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</si>
  <si>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</si>
  <si>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</si>
  <si>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</si>
  <si>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</si>
  <si>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</si>
  <si>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</si>
  <si>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</si>
  <si>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</si>
  <si>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</si>
  <si>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</si>
  <si>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</si>
  <si>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</si>
  <si>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</si>
  <si>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</si>
  <si>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</si>
  <si>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</si>
  <si>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</si>
  <si>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</si>
  <si>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</si>
  <si>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</si>
  <si>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</si>
  <si>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</si>
  <si>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</si>
  <si>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</si>
  <si>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</si>
  <si>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</si>
  <si>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</si>
  <si>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</si>
  <si>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</si>
  <si>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</si>
  <si>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</si>
  <si>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</si>
  <si>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</si>
  <si>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</si>
  <si>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</si>
  <si>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</si>
  <si>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</si>
  <si>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</si>
  <si>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</si>
  <si>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</si>
  <si>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</si>
  <si>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</si>
  <si>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</si>
  <si>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</si>
  <si>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</si>
  <si>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</si>
  <si>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</si>
  <si>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</si>
  <si>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</si>
  <si>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</si>
  <si>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</si>
  <si>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</si>
  <si>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</si>
  <si>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</si>
  <si>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</si>
  <si>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</si>
  <si>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</si>
  <si>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</si>
  <si>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</si>
  <si>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</si>
  <si>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</si>
  <si>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</si>
  <si>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</si>
  <si>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</si>
  <si>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</si>
  <si>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</si>
  <si>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</si>
  <si>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</si>
  <si>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</si>
  <si>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</si>
  <si>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</si>
  <si>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</si>
  <si>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</si>
  <si>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</si>
  <si>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</si>
  <si>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</si>
  <si>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</si>
  <si>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</si>
  <si>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</si>
  <si>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</si>
  <si>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</si>
  <si>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</si>
  <si>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</si>
  <si>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</si>
  <si>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</si>
  <si>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</si>
  <si>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</si>
  <si>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</si>
  <si>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</si>
  <si>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</si>
  <si>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</si>
  <si>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</si>
  <si>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</si>
  <si>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</si>
  <si>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</si>
  <si>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</si>
  <si>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</si>
  <si>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</si>
  <si>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</si>
  <si>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</si>
  <si>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</si>
  <si>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</si>
  <si>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</si>
  <si>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</si>
  <si>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</si>
  <si>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</si>
  <si>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</si>
  <si>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</si>
  <si>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</si>
  <si>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</si>
  <si>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</si>
  <si>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</si>
  <si>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</si>
  <si>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</si>
  <si>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</si>
  <si>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</si>
  <si>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</si>
  <si>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</si>
  <si>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</si>
  <si>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</si>
  <si>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</si>
  <si>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</si>
  <si>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</si>
  <si>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</si>
  <si>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</si>
  <si>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</si>
  <si>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</si>
  <si>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</si>
  <si>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</si>
  <si>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</si>
  <si>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</si>
  <si>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</si>
  <si>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</si>
  <si>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</si>
  <si>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</si>
  <si>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</si>
  <si>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</si>
  <si>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</si>
  <si>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</si>
  <si>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</si>
  <si>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</si>
  <si>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</si>
  <si>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</si>
  <si>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</si>
  <si>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</si>
  <si>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</si>
  <si>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</si>
  <si>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</si>
  <si>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</si>
  <si>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</si>
  <si>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</si>
  <si>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</si>
  <si>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</si>
  <si>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</si>
  <si>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</si>
  <si>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</si>
  <si>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</si>
  <si>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</si>
  <si>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</si>
  <si>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</si>
  <si>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</si>
  <si>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</si>
  <si>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</si>
  <si>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</si>
  <si>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</si>
  <si>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</si>
  <si>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</si>
  <si>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</si>
  <si>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</si>
  <si>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</si>
  <si>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</si>
  <si>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</si>
  <si>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</si>
  <si>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</si>
  <si>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</si>
  <si>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</si>
  <si>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</si>
  <si>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</si>
  <si>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</si>
  <si>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</si>
  <si>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</si>
  <si>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</si>
  <si>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</si>
  <si>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</si>
  <si>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</si>
  <si>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</si>
  <si>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</si>
  <si>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</si>
  <si>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</si>
  <si>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</si>
  <si>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</si>
  <si>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</si>
  <si>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</si>
  <si>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</si>
  <si>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</si>
  <si>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</si>
  <si>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</si>
  <si>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</si>
  <si>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</si>
  <si>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</si>
  <si>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</si>
  <si>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</si>
  <si>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</si>
  <si>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</si>
  <si>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</si>
  <si>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</si>
  <si>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</si>
  <si>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</si>
  <si>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</si>
  <si>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</si>
  <si>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</si>
  <si>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</si>
  <si>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</si>
  <si>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</si>
  <si>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</si>
  <si>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</si>
  <si>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</si>
  <si>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</si>
  <si>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</si>
  <si>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</si>
  <si>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</si>
  <si>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</si>
  <si>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</si>
  <si>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</si>
  <si>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</si>
  <si>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</si>
  <si>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</si>
  <si>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</si>
  <si>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</si>
  <si>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</si>
  <si>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</si>
  <si>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</si>
  <si>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</si>
  <si>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</si>
  <si>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</si>
  <si>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</si>
  <si>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</si>
  <si>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</si>
  <si>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</si>
  <si>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</si>
  <si>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</si>
  <si>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</si>
  <si>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</si>
  <si>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</si>
  <si>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</si>
  <si>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</si>
  <si>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</si>
  <si>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</si>
  <si>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</si>
  <si>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</si>
  <si>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</si>
  <si>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</si>
  <si>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</si>
  <si>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</si>
  <si>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</si>
  <si>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</si>
  <si>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</si>
  <si>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</si>
  <si>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</si>
  <si>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</si>
  <si>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</si>
  <si>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</si>
  <si>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</si>
  <si>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</si>
  <si>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</si>
  <si>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</si>
  <si>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</si>
  <si>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</si>
  <si>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</si>
  <si>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</si>
  <si>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</si>
  <si>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</si>
  <si>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</si>
  <si>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</si>
  <si>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</si>
  <si>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</si>
  <si>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</si>
  <si>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</si>
  <si>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</si>
  <si>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</si>
  <si>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</si>
  <si>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</si>
  <si>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</si>
  <si>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</si>
  <si>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</si>
  <si>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</si>
  <si>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</si>
  <si>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</si>
  <si>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</si>
  <si>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</si>
  <si>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</si>
  <si>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</si>
  <si>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</si>
  <si>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</si>
  <si>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</si>
  <si>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</si>
  <si>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</si>
  <si>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</si>
  <si>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</si>
  <si>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</si>
  <si>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</si>
  <si>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</si>
  <si>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</si>
  <si>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</si>
  <si>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</si>
  <si>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</si>
  <si>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</si>
  <si>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</si>
  <si>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</si>
  <si>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</si>
  <si>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</si>
  <si>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</si>
  <si>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</si>
  <si>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</si>
  <si>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</si>
  <si>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</si>
  <si>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</si>
  <si>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</si>
  <si>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</si>
  <si>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</si>
  <si>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</si>
  <si>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</si>
  <si>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</si>
  <si>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</si>
  <si>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</si>
  <si>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</si>
  <si>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</si>
  <si>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</si>
  <si>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</si>
  <si>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</si>
  <si>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</si>
  <si>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</si>
  <si>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</si>
  <si>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</si>
  <si>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</si>
  <si>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</si>
  <si>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</si>
  <si>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</si>
  <si>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</si>
  <si>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</si>
  <si>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</si>
  <si>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</si>
  <si>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</si>
  <si>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</si>
  <si>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</si>
  <si>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</si>
  <si>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</si>
  <si>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</si>
  <si>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</si>
  <si>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</si>
  <si>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</si>
  <si>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</si>
  <si>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</si>
  <si>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</si>
  <si>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</si>
  <si>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</si>
  <si>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</si>
  <si>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</si>
  <si>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</si>
  <si>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</si>
  <si>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</si>
  <si>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</si>
  <si>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</si>
  <si>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</si>
  <si>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</si>
  <si>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</si>
  <si>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</si>
  <si>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</si>
  <si>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</si>
  <si>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</si>
  <si>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</si>
  <si>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</si>
  <si>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</si>
  <si>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</si>
  <si>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</si>
  <si>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</si>
  <si>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</si>
  <si>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</si>
  <si>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</si>
  <si>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</si>
  <si>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</si>
  <si>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</si>
  <si>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</si>
  <si>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</si>
  <si>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</si>
  <si>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</si>
  <si>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</si>
  <si>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</si>
  <si>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</si>
  <si>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</si>
  <si>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</si>
  <si>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</si>
  <si>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</si>
  <si>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</si>
  <si>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</si>
  <si>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</si>
  <si>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</si>
  <si>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</si>
  <si>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</si>
  <si>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</si>
  <si>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</si>
  <si>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</si>
  <si>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</si>
  <si>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</si>
  <si>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</si>
  <si>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</si>
  <si>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</si>
  <si>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</si>
  <si>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</si>
  <si>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</si>
  <si>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</si>
  <si>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</si>
  <si>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</si>
  <si>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</si>
  <si>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</si>
  <si>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</si>
  <si>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</si>
  <si>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</si>
  <si>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</si>
  <si>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</si>
  <si>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</si>
  <si>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</si>
  <si>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</si>
  <si>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</si>
  <si>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</si>
  <si>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</si>
  <si>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</si>
  <si>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</si>
  <si>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</si>
  <si>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</si>
  <si>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</si>
  <si>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</si>
  <si>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</si>
  <si>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</si>
  <si>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</si>
  <si>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</si>
  <si>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</si>
  <si>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</si>
  <si>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</si>
  <si>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</si>
  <si>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</si>
  <si>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</si>
  <si>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</si>
  <si>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</si>
  <si>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</si>
  <si>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</si>
  <si>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</si>
  <si>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</si>
  <si>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</si>
  <si>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</si>
  <si>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</si>
  <si>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</si>
  <si>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</si>
  <si>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</si>
  <si>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</si>
  <si>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</si>
  <si>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</si>
  <si>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</si>
  <si>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</si>
  <si>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</si>
  <si>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</si>
  <si>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</si>
  <si>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</si>
  <si>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</si>
  <si>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</si>
  <si>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</si>
  <si>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</si>
  <si>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</si>
  <si>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</si>
  <si>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</si>
  <si>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</si>
  <si>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</si>
  <si>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</si>
  <si>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</si>
  <si>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</si>
  <si>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</si>
  <si>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</si>
  <si>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</si>
  <si>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</si>
  <si>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</si>
  <si>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</si>
  <si>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</si>
  <si>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</si>
  <si>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</si>
  <si>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</si>
  <si>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</si>
  <si>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</si>
  <si>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</si>
  <si>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</si>
  <si>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</si>
  <si>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</si>
  <si>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</si>
  <si>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</si>
  <si>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</si>
  <si>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</si>
  <si>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</si>
  <si>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</si>
  <si>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</si>
  <si>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</si>
  <si>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</si>
  <si>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</si>
  <si>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</si>
  <si>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</si>
  <si>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</si>
  <si>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</si>
  <si>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</si>
  <si>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</si>
  <si>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</si>
  <si>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</si>
  <si>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</si>
  <si>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</si>
  <si>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</si>
  <si>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</si>
  <si>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</si>
  <si>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</si>
  <si>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</si>
  <si>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</si>
  <si>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</si>
  <si>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</si>
  <si>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</si>
  <si>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</si>
  <si>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</si>
  <si>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</si>
  <si>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</si>
  <si>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</si>
  <si>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</si>
  <si>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</si>
  <si>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</si>
  <si>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</si>
  <si>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</si>
  <si>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</si>
  <si>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</si>
  <si>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</si>
  <si>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</si>
  <si>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</si>
  <si>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</si>
  <si>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</si>
  <si>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</si>
  <si>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</si>
  <si>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</si>
  <si>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</si>
  <si>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</si>
  <si>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</si>
  <si>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</si>
  <si>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</si>
  <si>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</si>
  <si>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</si>
  <si>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</si>
  <si>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</si>
  <si>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</si>
  <si>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</si>
  <si>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</si>
  <si>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</si>
  <si>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</si>
  <si>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</si>
  <si>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</si>
  <si>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</si>
  <si>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</si>
  <si>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</si>
  <si>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</si>
  <si>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</si>
  <si>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</si>
  <si>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</si>
  <si>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</si>
  <si>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</si>
  <si>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</si>
  <si>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</si>
  <si>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</si>
  <si>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</si>
  <si>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</si>
  <si>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</si>
  <si>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</si>
  <si>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</si>
  <si>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</si>
  <si>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</si>
  <si>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</si>
  <si>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</si>
  <si>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</si>
  <si>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</si>
  <si>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</si>
  <si>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</si>
  <si>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</si>
  <si>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</si>
  <si>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</si>
  <si>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</si>
  <si>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</si>
  <si>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</si>
  <si>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</si>
  <si>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</si>
  <si>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</si>
  <si>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</si>
  <si>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</si>
  <si>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</si>
  <si>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</si>
  <si>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</si>
  <si>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</si>
  <si>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</si>
  <si>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</si>
  <si>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</si>
  <si>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</si>
  <si>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</si>
  <si>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</si>
  <si>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</si>
  <si>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</si>
  <si>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</si>
  <si>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</si>
  <si>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</si>
  <si>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</si>
  <si>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</si>
  <si>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</si>
  <si>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</si>
  <si>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</si>
  <si>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</si>
  <si>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</si>
  <si>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</si>
  <si>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</si>
  <si>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</si>
  <si>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</si>
  <si>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</si>
  <si>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</si>
  <si>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</si>
  <si>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</si>
  <si>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</si>
  <si>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</si>
  <si>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</si>
  <si>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</si>
  <si>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</si>
  <si>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</si>
  <si>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</si>
  <si>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</si>
  <si>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</si>
  <si>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</si>
  <si>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</si>
  <si>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</si>
  <si>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</si>
  <si>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</si>
  <si>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</si>
  <si>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</si>
  <si>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</si>
  <si>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</si>
  <si>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</si>
  <si>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</si>
  <si>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</si>
  <si>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</si>
  <si>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</si>
  <si>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</si>
  <si>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</si>
  <si>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</si>
  <si>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</si>
  <si>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</si>
  <si>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</si>
  <si>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</si>
  <si>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</si>
  <si>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</si>
  <si>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</si>
  <si>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</si>
  <si>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</si>
  <si>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</si>
  <si>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</si>
  <si>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</si>
  <si>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</si>
  <si>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</si>
  <si>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</si>
  <si>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</si>
  <si>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</si>
  <si>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</si>
  <si>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</si>
  <si>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</si>
  <si>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</si>
  <si>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</si>
  <si>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</si>
  <si>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</si>
  <si>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</si>
  <si>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</si>
  <si>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</si>
  <si>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</si>
  <si>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</si>
  <si>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</si>
  <si>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</si>
  <si>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</si>
  <si>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</si>
  <si>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</si>
  <si>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</si>
  <si>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</si>
  <si>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</si>
  <si>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</si>
  <si>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</si>
  <si>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</si>
  <si>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</si>
  <si>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</si>
  <si>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</si>
  <si>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</si>
  <si>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</si>
  <si>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</si>
  <si>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</si>
  <si>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</si>
  <si>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</si>
  <si>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</si>
  <si>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</si>
  <si>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</si>
  <si>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</si>
  <si>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</si>
  <si>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</si>
  <si>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</si>
  <si>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</si>
  <si>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</si>
  <si>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</si>
  <si>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</si>
  <si>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</si>
  <si>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</si>
  <si>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</si>
  <si>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Jan</t>
  </si>
  <si>
    <t>Feb</t>
  </si>
  <si>
    <t>Mar</t>
  </si>
  <si>
    <t>Apr</t>
  </si>
  <si>
    <t>May</t>
  </si>
  <si>
    <t>Jun</t>
  </si>
  <si>
    <t>Jul</t>
  </si>
  <si>
    <t>Aug</t>
  </si>
  <si>
    <t>Sep</t>
  </si>
  <si>
    <t>Oct</t>
  </si>
  <si>
    <t>Nov</t>
  </si>
  <si>
    <t>Dec</t>
  </si>
  <si>
    <t>Sum of TotalPrice</t>
  </si>
  <si>
    <t>Sum of Quantity</t>
  </si>
  <si>
    <t>Count of OrderID</t>
  </si>
  <si>
    <t>Sum of Returned</t>
  </si>
  <si>
    <t>Total Price</t>
  </si>
  <si>
    <t>Details for Sum of TotalPrice - Months (Date): Jan</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</si>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</sst>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yyyy\-mm\-dd"/>
    <numFmt numFmtId="165" formatCode="0.00,\ &quot;K&quot;"/>
    <numFmt numFmtId="166" formatCode="0,\ &quot;K&quot;"/>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4" fontId="0" fillId="0" borderId="0" xfId="1" applyFont="1"/>
    <xf numFmtId="3" fontId="0" fillId="0" borderId="0" xfId="0" applyNumberFormat="1"/>
    <xf numFmtId="44" fontId="0" fillId="0" borderId="0" xfId="0" applyNumberFormat="1"/>
    <xf numFmtId="14" fontId="0" fillId="0" borderId="0" xfId="0" applyNumberFormat="1"/>
    <xf numFmtId="0" fontId="1" fillId="0" borderId="0" xfId="0" applyFont="1"/>
    <xf numFmtId="10" fontId="0" fillId="0" borderId="0" xfId="0" applyNumberFormat="1"/>
    <xf numFmtId="165" fontId="0" fillId="0" borderId="0" xfId="0" applyNumberFormat="1"/>
    <xf numFmtId="166" fontId="0" fillId="0" borderId="0" xfId="0" applyNumberFormat="1"/>
    <xf numFmtId="0" fontId="0" fillId="0" borderId="0" xfId="0" applyNumberFormat="1"/>
  </cellXfs>
  <cellStyles count="2">
    <cellStyle name="Currency" xfId="1" builtinId="4"/>
    <cellStyle name="Normal" xfId="0" builtinId="0"/>
  </cellStyles>
  <dxfs count="63">
    <dxf>
      <numFmt numFmtId="165" formatCode="0.00,\ &quot;K&quot;"/>
    </dxf>
    <dxf>
      <numFmt numFmtId="14" formatCode="0.00%"/>
    </dxf>
    <dxf>
      <numFmt numFmtId="165" formatCode="0.00,\ &quot;K&quot;"/>
    </dxf>
    <dxf>
      <numFmt numFmtId="165" formatCode="0.00,\ &quot;K&quot;"/>
    </dxf>
    <dxf>
      <numFmt numFmtId="165" formatCode="0.00,\ &quot;K&quot;"/>
    </dxf>
    <dxf>
      <numFmt numFmtId="13" formatCode="0%"/>
    </dxf>
    <dxf>
      <numFmt numFmtId="14" formatCode="0.00%"/>
    </dxf>
    <dxf>
      <numFmt numFmtId="165" formatCode="0.00,\ &quot;K&quot;"/>
    </dxf>
    <dxf>
      <numFmt numFmtId="34" formatCode="_ &quot;₹&quot;\ * #,##0.00_ ;_ &quot;₹&quot;\ * \-#,##0.00_ ;_ &quot;₹&quot;\ * &quot;-&quot;??_ ;_ @_ "/>
    </dxf>
    <dxf>
      <numFmt numFmtId="165" formatCode="0.00,\ &quot;K&quot;"/>
    </dxf>
    <dxf>
      <numFmt numFmtId="14" formatCode="0.00%"/>
    </dxf>
    <dxf>
      <numFmt numFmtId="165" formatCode="0.00,\ &quot;K&quot;"/>
    </dxf>
    <dxf>
      <numFmt numFmtId="165" formatCode="0.00,\ &quot;K&quot;"/>
    </dxf>
    <dxf>
      <numFmt numFmtId="165" formatCode="0.00,\ &quot;K&quot;"/>
    </dxf>
    <dxf>
      <numFmt numFmtId="13" formatCode="0%"/>
    </dxf>
    <dxf>
      <numFmt numFmtId="14" formatCode="0.00%"/>
    </dxf>
    <dxf>
      <numFmt numFmtId="165" formatCode="0.00,\ &quot;K&quot;"/>
    </dxf>
    <dxf>
      <numFmt numFmtId="34" formatCode="_ &quot;₹&quot;\ * #,##0.00_ ;_ &quot;₹&quot;\ * \-#,##0.00_ ;_ &quot;₹&quot;\ * &quot;-&quot;??_ ;_ @_ "/>
    </dxf>
    <dxf>
      <numFmt numFmtId="165" formatCode="0.00,\ &quot;K&quot;"/>
    </dxf>
    <dxf>
      <numFmt numFmtId="14" formatCode="0.00%"/>
    </dxf>
    <dxf>
      <numFmt numFmtId="165" formatCode="0.00,\ &quot;K&quot;"/>
    </dxf>
    <dxf>
      <numFmt numFmtId="165" formatCode="0.00,\ &quot;K&quot;"/>
    </dxf>
    <dxf>
      <numFmt numFmtId="165" formatCode="0.00,\ &quot;K&quot;"/>
    </dxf>
    <dxf>
      <numFmt numFmtId="13" formatCode="0%"/>
    </dxf>
    <dxf>
      <numFmt numFmtId="14" formatCode="0.00%"/>
    </dxf>
    <dxf>
      <numFmt numFmtId="165" formatCode="0.00,\ &quot;K&quot;"/>
    </dxf>
    <dxf>
      <numFmt numFmtId="34" formatCode="_ &quot;₹&quot;\ * #,##0.00_ ;_ &quot;₹&quot;\ * \-#,##0.00_ ;_ &quot;₹&quot;\ * &quot;-&quot;??_ ;_ @_ "/>
    </dxf>
    <dxf>
      <numFmt numFmtId="165" formatCode="0.00,\ &quot;K&quot;"/>
    </dxf>
    <dxf>
      <numFmt numFmtId="14" formatCode="0.00%"/>
    </dxf>
    <dxf>
      <numFmt numFmtId="165" formatCode="0.00,\ &quot;K&quot;"/>
    </dxf>
    <dxf>
      <numFmt numFmtId="165" formatCode="0.00,\ &quot;K&quot;"/>
    </dxf>
    <dxf>
      <numFmt numFmtId="165" formatCode="0.00,\ &quot;K&quot;"/>
    </dxf>
    <dxf>
      <numFmt numFmtId="13" formatCode="0%"/>
    </dxf>
    <dxf>
      <numFmt numFmtId="14" formatCode="0.00%"/>
    </dxf>
    <dxf>
      <numFmt numFmtId="165" formatCode="0.00,\ &quot;K&quot;"/>
    </dxf>
    <dxf>
      <numFmt numFmtId="34" formatCode="_ &quot;₹&quot;\ * #,##0.00_ ;_ &quot;₹&quot;\ * \-#,##0.00_ ;_ &quot;₹&quot;\ * &quot;-&quot;??_ ;_ @_ "/>
    </dxf>
    <dxf>
      <numFmt numFmtId="165" formatCode="0.00,\ &quot;K&quot;"/>
    </dxf>
    <dxf>
      <numFmt numFmtId="14" formatCode="0.00%"/>
    </dxf>
    <dxf>
      <numFmt numFmtId="165" formatCode="0.00,\ &quot;K&quot;"/>
    </dxf>
    <dxf>
      <numFmt numFmtId="165" formatCode="0.00,\ &quot;K&quot;"/>
    </dxf>
    <dxf>
      <numFmt numFmtId="165" formatCode="0.00,\ &quot;K&quot;"/>
    </dxf>
    <dxf>
      <numFmt numFmtId="13" formatCode="0%"/>
    </dxf>
    <dxf>
      <numFmt numFmtId="14" formatCode="0.00%"/>
    </dxf>
    <dxf>
      <numFmt numFmtId="165" formatCode="0.00,\ &quot;K&quot;"/>
    </dxf>
    <dxf>
      <numFmt numFmtId="34" formatCode="_ &quot;₹&quot;\ * #,##0.00_ ;_ &quot;₹&quot;\ * \-#,##0.00_ ;_ &quot;₹&quot;\ * &quot;-&quot;??_ ;_ @_ "/>
    </dxf>
    <dxf>
      <numFmt numFmtId="164" formatCode="yyyy\-mm\-dd"/>
    </dxf>
    <dxf>
      <numFmt numFmtId="164" formatCode="yyyy\-mm\-dd"/>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numFmt numFmtId="19" formatCode="dd/mm/yyyy"/>
    </dxf>
    <dxf>
      <numFmt numFmtId="19" formatCode="dd/mm/yyyy"/>
    </dxf>
    <dxf>
      <numFmt numFmtId="165" formatCode="0.00,\ &quot;K&quot;"/>
    </dxf>
    <dxf>
      <numFmt numFmtId="14" formatCode="0.00%"/>
    </dxf>
    <dxf>
      <numFmt numFmtId="165" formatCode="0.00,\ &quot;K&quot;"/>
    </dxf>
    <dxf>
      <numFmt numFmtId="14" formatCode="0.00%"/>
    </dxf>
    <dxf>
      <numFmt numFmtId="13" formatCode="0%"/>
    </dxf>
    <dxf>
      <numFmt numFmtId="165" formatCode="0.00,\ &quot;K&quot;"/>
    </dxf>
    <dxf>
      <numFmt numFmtId="34" formatCode="_ &quot;₹&quot;\ * #,##0.00_ ;_ &quot;₹&quot;\ * \-#,##0.00_ ;_ &quot;₹&quot;\ * &quot;-&quot;??_ ;_ @_ "/>
    </dxf>
    <dxf>
      <numFmt numFmtId="165" formatCode="0.00,\ &quot;K&quot;"/>
    </dxf>
    <dxf>
      <numFmt numFmtId="165" formatCode="0.00,\ &quot;K&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Project.xlsx]kpis!PivotTable1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8575" cap="rnd">
              <a:solidFill>
                <a:schemeClr val="accent1"/>
              </a:solidFill>
              <a:round/>
            </a:ln>
            <a:effectLst/>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General</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smooth val="0"/>
          <c:extLst>
            <c:ext xmlns:c16="http://schemas.microsoft.com/office/drawing/2014/chart" uri="{C3380CC4-5D6E-409C-BE32-E72D297353CC}">
              <c16:uniqueId val="{00000000-F5AA-46DC-ADD2-89878C865761}"/>
            </c:ext>
          </c:extLst>
        </c:ser>
        <c:dLbls>
          <c:showLegendKey val="0"/>
          <c:showVal val="0"/>
          <c:showCatName val="0"/>
          <c:showSerName val="0"/>
          <c:showPercent val="0"/>
          <c:showBubbleSize val="0"/>
        </c:dLbls>
        <c:smooth val="0"/>
        <c:axId val="357254784"/>
        <c:axId val="357250944"/>
      </c:lineChart>
      <c:catAx>
        <c:axId val="357254784"/>
        <c:scaling>
          <c:orientation val="minMax"/>
        </c:scaling>
        <c:delete val="1"/>
        <c:axPos val="b"/>
        <c:numFmt formatCode="General" sourceLinked="1"/>
        <c:majorTickMark val="none"/>
        <c:minorTickMark val="none"/>
        <c:tickLblPos val="nextTo"/>
        <c:crossAx val="357250944"/>
        <c:crosses val="autoZero"/>
        <c:auto val="1"/>
        <c:lblAlgn val="ctr"/>
        <c:lblOffset val="100"/>
        <c:noMultiLvlLbl val="0"/>
      </c:catAx>
      <c:valAx>
        <c:axId val="357250944"/>
        <c:scaling>
          <c:orientation val="minMax"/>
        </c:scaling>
        <c:delete val="1"/>
        <c:axPos val="l"/>
        <c:numFmt formatCode="General" sourceLinked="1"/>
        <c:majorTickMark val="none"/>
        <c:minorTickMark val="none"/>
        <c:tickLblPos val="nextTo"/>
        <c:crossAx val="3572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Project.xlsx]kpis!PivotTable2</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8575" cap="rnd">
              <a:solidFill>
                <a:schemeClr val="accent1"/>
              </a:solidFill>
              <a:round/>
            </a:ln>
            <a:effectLst/>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General</c:formatCode>
                <c:ptCount val="12"/>
                <c:pt idx="0">
                  <c:v>1832</c:v>
                </c:pt>
                <c:pt idx="1">
                  <c:v>1572</c:v>
                </c:pt>
                <c:pt idx="2">
                  <c:v>1811</c:v>
                </c:pt>
                <c:pt idx="3">
                  <c:v>1442</c:v>
                </c:pt>
                <c:pt idx="4">
                  <c:v>1432</c:v>
                </c:pt>
                <c:pt idx="5">
                  <c:v>1521</c:v>
                </c:pt>
                <c:pt idx="6">
                  <c:v>1016</c:v>
                </c:pt>
                <c:pt idx="7">
                  <c:v>1054</c:v>
                </c:pt>
                <c:pt idx="8">
                  <c:v>998</c:v>
                </c:pt>
                <c:pt idx="9">
                  <c:v>958</c:v>
                </c:pt>
                <c:pt idx="10">
                  <c:v>1047</c:v>
                </c:pt>
                <c:pt idx="11">
                  <c:v>933</c:v>
                </c:pt>
              </c:numCache>
            </c:numRef>
          </c:val>
          <c:smooth val="0"/>
          <c:extLst>
            <c:ext xmlns:c16="http://schemas.microsoft.com/office/drawing/2014/chart" uri="{C3380CC4-5D6E-409C-BE32-E72D297353CC}">
              <c16:uniqueId val="{00000000-6247-44CC-A081-B40C62BB6CCD}"/>
            </c:ext>
          </c:extLst>
        </c:ser>
        <c:dLbls>
          <c:showLegendKey val="0"/>
          <c:showVal val="0"/>
          <c:showCatName val="0"/>
          <c:showSerName val="0"/>
          <c:showPercent val="0"/>
          <c:showBubbleSize val="0"/>
        </c:dLbls>
        <c:smooth val="0"/>
        <c:axId val="508589872"/>
        <c:axId val="508590352"/>
      </c:lineChart>
      <c:catAx>
        <c:axId val="508589872"/>
        <c:scaling>
          <c:orientation val="minMax"/>
        </c:scaling>
        <c:delete val="1"/>
        <c:axPos val="b"/>
        <c:numFmt formatCode="General" sourceLinked="1"/>
        <c:majorTickMark val="none"/>
        <c:minorTickMark val="none"/>
        <c:tickLblPos val="nextTo"/>
        <c:crossAx val="508590352"/>
        <c:crosses val="autoZero"/>
        <c:auto val="1"/>
        <c:lblAlgn val="ctr"/>
        <c:lblOffset val="100"/>
        <c:noMultiLvlLbl val="0"/>
      </c:catAx>
      <c:valAx>
        <c:axId val="508590352"/>
        <c:scaling>
          <c:orientation val="minMax"/>
        </c:scaling>
        <c:delete val="1"/>
        <c:axPos val="l"/>
        <c:numFmt formatCode="General" sourceLinked="1"/>
        <c:majorTickMark val="none"/>
        <c:minorTickMark val="none"/>
        <c:tickLblPos val="nextTo"/>
        <c:crossAx val="508589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Project.xlsx]kpis!PivotTable3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8575" cap="rnd">
              <a:solidFill>
                <a:schemeClr val="accent1"/>
              </a:solidFill>
              <a:round/>
            </a:ln>
            <a:effectLst/>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General</c:formatCode>
                <c:ptCount val="12"/>
                <c:pt idx="0">
                  <c:v>176</c:v>
                </c:pt>
                <c:pt idx="1">
                  <c:v>149</c:v>
                </c:pt>
                <c:pt idx="2">
                  <c:v>174</c:v>
                </c:pt>
                <c:pt idx="3">
                  <c:v>144</c:v>
                </c:pt>
                <c:pt idx="4">
                  <c:v>140</c:v>
                </c:pt>
                <c:pt idx="5">
                  <c:v>154</c:v>
                </c:pt>
                <c:pt idx="6">
                  <c:v>98</c:v>
                </c:pt>
                <c:pt idx="7">
                  <c:v>102</c:v>
                </c:pt>
                <c:pt idx="8">
                  <c:v>89</c:v>
                </c:pt>
                <c:pt idx="9">
                  <c:v>89</c:v>
                </c:pt>
                <c:pt idx="10">
                  <c:v>98</c:v>
                </c:pt>
                <c:pt idx="11">
                  <c:v>87</c:v>
                </c:pt>
              </c:numCache>
            </c:numRef>
          </c:val>
          <c:smooth val="0"/>
          <c:extLst>
            <c:ext xmlns:c16="http://schemas.microsoft.com/office/drawing/2014/chart" uri="{C3380CC4-5D6E-409C-BE32-E72D297353CC}">
              <c16:uniqueId val="{00000000-0B6D-4F3A-9D1E-AAFF9D33F5CE}"/>
            </c:ext>
          </c:extLst>
        </c:ser>
        <c:dLbls>
          <c:showLegendKey val="0"/>
          <c:showVal val="0"/>
          <c:showCatName val="0"/>
          <c:showSerName val="0"/>
          <c:showPercent val="0"/>
          <c:showBubbleSize val="0"/>
        </c:dLbls>
        <c:smooth val="0"/>
        <c:axId val="437646352"/>
        <c:axId val="437642992"/>
      </c:lineChart>
      <c:catAx>
        <c:axId val="437646352"/>
        <c:scaling>
          <c:orientation val="minMax"/>
        </c:scaling>
        <c:delete val="1"/>
        <c:axPos val="b"/>
        <c:numFmt formatCode="General" sourceLinked="1"/>
        <c:majorTickMark val="none"/>
        <c:minorTickMark val="none"/>
        <c:tickLblPos val="nextTo"/>
        <c:crossAx val="437642992"/>
        <c:crosses val="autoZero"/>
        <c:auto val="1"/>
        <c:lblAlgn val="ctr"/>
        <c:lblOffset val="100"/>
        <c:noMultiLvlLbl val="0"/>
      </c:catAx>
      <c:valAx>
        <c:axId val="437642992"/>
        <c:scaling>
          <c:orientation val="minMax"/>
        </c:scaling>
        <c:delete val="1"/>
        <c:axPos val="l"/>
        <c:numFmt formatCode="General" sourceLinked="1"/>
        <c:majorTickMark val="none"/>
        <c:minorTickMark val="none"/>
        <c:tickLblPos val="nextTo"/>
        <c:crossAx val="43764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Project.xlsx]kpis!PivotTable4</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8575" cap="rnd">
              <a:solidFill>
                <a:schemeClr val="accent1"/>
              </a:solidFill>
              <a:round/>
            </a:ln>
            <a:effectLst/>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General</c:formatCode>
                <c:ptCount val="12"/>
                <c:pt idx="0">
                  <c:v>32</c:v>
                </c:pt>
                <c:pt idx="1">
                  <c:v>32</c:v>
                </c:pt>
                <c:pt idx="2">
                  <c:v>44</c:v>
                </c:pt>
                <c:pt idx="3">
                  <c:v>35</c:v>
                </c:pt>
                <c:pt idx="4">
                  <c:v>48</c:v>
                </c:pt>
                <c:pt idx="5">
                  <c:v>36</c:v>
                </c:pt>
                <c:pt idx="6">
                  <c:v>27</c:v>
                </c:pt>
                <c:pt idx="7">
                  <c:v>26</c:v>
                </c:pt>
                <c:pt idx="8">
                  <c:v>23</c:v>
                </c:pt>
                <c:pt idx="9">
                  <c:v>24</c:v>
                </c:pt>
                <c:pt idx="10">
                  <c:v>25</c:v>
                </c:pt>
                <c:pt idx="11">
                  <c:v>20</c:v>
                </c:pt>
              </c:numCache>
            </c:numRef>
          </c:val>
          <c:smooth val="0"/>
          <c:extLst>
            <c:ext xmlns:c16="http://schemas.microsoft.com/office/drawing/2014/chart" uri="{C3380CC4-5D6E-409C-BE32-E72D297353CC}">
              <c16:uniqueId val="{00000000-4450-4433-B355-D93179D911BF}"/>
            </c:ext>
          </c:extLst>
        </c:ser>
        <c:dLbls>
          <c:showLegendKey val="0"/>
          <c:showVal val="0"/>
          <c:showCatName val="0"/>
          <c:showSerName val="0"/>
          <c:showPercent val="0"/>
          <c:showBubbleSize val="0"/>
        </c:dLbls>
        <c:smooth val="0"/>
        <c:axId val="437674192"/>
        <c:axId val="437681392"/>
      </c:lineChart>
      <c:catAx>
        <c:axId val="437674192"/>
        <c:scaling>
          <c:orientation val="minMax"/>
        </c:scaling>
        <c:delete val="1"/>
        <c:axPos val="b"/>
        <c:numFmt formatCode="General" sourceLinked="1"/>
        <c:majorTickMark val="none"/>
        <c:minorTickMark val="none"/>
        <c:tickLblPos val="nextTo"/>
        <c:crossAx val="437681392"/>
        <c:crosses val="autoZero"/>
        <c:auto val="1"/>
        <c:lblAlgn val="ctr"/>
        <c:lblOffset val="100"/>
        <c:noMultiLvlLbl val="0"/>
      </c:catAx>
      <c:valAx>
        <c:axId val="437681392"/>
        <c:scaling>
          <c:orientation val="minMax"/>
        </c:scaling>
        <c:delete val="1"/>
        <c:axPos val="l"/>
        <c:numFmt formatCode="General" sourceLinked="1"/>
        <c:majorTickMark val="none"/>
        <c:minorTickMark val="none"/>
        <c:tickLblPos val="nextTo"/>
        <c:crossAx val="43767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Project.xlsx]bar!PivotTable12</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Product Performance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s>
    <c:plotArea>
      <c:layout/>
      <c:barChart>
        <c:barDir val="col"/>
        <c:grouping val="clustered"/>
        <c:varyColors val="0"/>
        <c:ser>
          <c:idx val="0"/>
          <c:order val="0"/>
          <c:tx>
            <c:strRef>
              <c:f>bar!$B$3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bar!$A$4:$A$11</c:f>
              <c:strCache>
                <c:ptCount val="7"/>
                <c:pt idx="0">
                  <c:v>Chair</c:v>
                </c:pt>
                <c:pt idx="1">
                  <c:v>Desk</c:v>
                </c:pt>
                <c:pt idx="2">
                  <c:v>Laptop</c:v>
                </c:pt>
                <c:pt idx="3">
                  <c:v>Monitor</c:v>
                </c:pt>
                <c:pt idx="4">
                  <c:v>Phone</c:v>
                </c:pt>
                <c:pt idx="5">
                  <c:v>Printer</c:v>
                </c:pt>
                <c:pt idx="6">
                  <c:v>Tablet</c:v>
                </c:pt>
              </c:strCache>
            </c:strRef>
          </c:cat>
          <c:val>
            <c:numRef>
              <c:f>bar!$B$4:$B$11</c:f>
              <c:numCache>
                <c:formatCode>0.00,\ "K"</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8306-4BF0-B86E-F78D23734FC9}"/>
            </c:ext>
          </c:extLst>
        </c:ser>
        <c:dLbls>
          <c:dLblPos val="inEnd"/>
          <c:showLegendKey val="0"/>
          <c:showVal val="1"/>
          <c:showCatName val="0"/>
          <c:showSerName val="0"/>
          <c:showPercent val="0"/>
          <c:showBubbleSize val="0"/>
        </c:dLbls>
        <c:gapWidth val="124"/>
        <c:overlap val="-90"/>
        <c:axId val="437698192"/>
        <c:axId val="437640592"/>
      </c:barChart>
      <c:catAx>
        <c:axId val="437698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7640592"/>
        <c:crosses val="autoZero"/>
        <c:auto val="1"/>
        <c:lblAlgn val="ctr"/>
        <c:lblOffset val="100"/>
        <c:noMultiLvlLbl val="0"/>
      </c:catAx>
      <c:valAx>
        <c:axId val="437640592"/>
        <c:scaling>
          <c:orientation val="minMax"/>
        </c:scaling>
        <c:delete val="1"/>
        <c:axPos val="l"/>
        <c:numFmt formatCode="0.00,\ &quot;K&quot;" sourceLinked="1"/>
        <c:majorTickMark val="none"/>
        <c:minorTickMark val="none"/>
        <c:tickLblPos val="nextTo"/>
        <c:crossAx val="43769819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Discount</a:t>
            </a:r>
            <a:r>
              <a:rPr lang="en-IN" baseline="0"/>
              <a:t> vs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spPr>
            <a:ln w="19050" cap="rnd">
              <a:solidFill>
                <a:schemeClr val="accent3"/>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19050" cap="rnd">
                <a:solidFill>
                  <a:schemeClr val="accent3">
                    <a:lumMod val="50000"/>
                    <a:alpha val="62000"/>
                  </a:schemeClr>
                </a:solidFill>
                <a:round/>
              </a:ln>
              <a:effectLst/>
            </c:spPr>
            <c:extLst>
              <c:ext xmlns:c16="http://schemas.microsoft.com/office/drawing/2014/chart" uri="{C3380CC4-5D6E-409C-BE32-E72D297353CC}">
                <c16:uniqueId val="{00000001-0D3A-420A-A1F6-30D088A9AF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Discount!$D$4:$D$7</c:f>
              <c:numCache>
                <c:formatCode>General</c:formatCode>
                <c:ptCount val="4"/>
                <c:pt idx="0">
                  <c:v>0</c:v>
                </c:pt>
                <c:pt idx="1">
                  <c:v>0.05</c:v>
                </c:pt>
                <c:pt idx="2">
                  <c:v>0.1</c:v>
                </c:pt>
                <c:pt idx="3">
                  <c:v>0.15</c:v>
                </c:pt>
              </c:numCache>
            </c:numRef>
          </c:xVal>
          <c:yVal>
            <c:numRef>
              <c:f>Discount!$E$4:$E$7</c:f>
              <c:numCache>
                <c:formatCode>0,\ "K"</c:formatCode>
                <c:ptCount val="4"/>
                <c:pt idx="0">
                  <c:v>1217674.1699999995</c:v>
                </c:pt>
                <c:pt idx="1">
                  <c:v>1127900.7620000008</c:v>
                </c:pt>
                <c:pt idx="2">
                  <c:v>1078306.344</c:v>
                </c:pt>
                <c:pt idx="3">
                  <c:v>956111.15250000067</c:v>
                </c:pt>
              </c:numCache>
            </c:numRef>
          </c:yVal>
          <c:smooth val="1"/>
          <c:extLst>
            <c:ext xmlns:c16="http://schemas.microsoft.com/office/drawing/2014/chart" uri="{C3380CC4-5D6E-409C-BE32-E72D297353CC}">
              <c16:uniqueId val="{00000000-0D3A-420A-A1F6-30D088A9AFAD}"/>
            </c:ext>
          </c:extLst>
        </c:ser>
        <c:dLbls>
          <c:dLblPos val="t"/>
          <c:showLegendKey val="0"/>
          <c:showVal val="1"/>
          <c:showCatName val="0"/>
          <c:showSerName val="0"/>
          <c:showPercent val="0"/>
          <c:showBubbleSize val="0"/>
        </c:dLbls>
        <c:axId val="174271392"/>
        <c:axId val="174288192"/>
      </c:scatterChart>
      <c:valAx>
        <c:axId val="17427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88192"/>
        <c:crosses val="autoZero"/>
        <c:crossBetween val="midCat"/>
      </c:valAx>
      <c:valAx>
        <c:axId val="174288192"/>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crossAx val="174271392"/>
        <c:crosses val="autoZero"/>
        <c:crossBetween val="midCat"/>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Project.xlsx]promotion !PivotTable16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a:t>
            </a:r>
            <a:r>
              <a:rPr lang="en-US" baseline="0"/>
              <a:t> Effect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'promotion '!$B$3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'!$A$4:$A$8</c:f>
              <c:strCache>
                <c:ptCount val="4"/>
                <c:pt idx="0">
                  <c:v>FREESHIP</c:v>
                </c:pt>
                <c:pt idx="1">
                  <c:v>SAVE10</c:v>
                </c:pt>
                <c:pt idx="2">
                  <c:v>WINTER15</c:v>
                </c:pt>
                <c:pt idx="3">
                  <c:v>(blank)</c:v>
                </c:pt>
              </c:strCache>
            </c:strRef>
          </c:cat>
          <c:val>
            <c:numRef>
              <c:f>'promotion '!$B$4:$B$8</c:f>
              <c:numCache>
                <c:formatCode>0.00,\ "K"</c:formatCode>
                <c:ptCount val="4"/>
                <c:pt idx="0">
                  <c:v>1238076.9235000007</c:v>
                </c:pt>
                <c:pt idx="1">
                  <c:v>989656.80550000037</c:v>
                </c:pt>
                <c:pt idx="2">
                  <c:v>1078011.9280000005</c:v>
                </c:pt>
                <c:pt idx="3">
                  <c:v>1074246.7715000003</c:v>
                </c:pt>
              </c:numCache>
            </c:numRef>
          </c:val>
          <c:extLst>
            <c:ext xmlns:c16="http://schemas.microsoft.com/office/drawing/2014/chart" uri="{C3380CC4-5D6E-409C-BE32-E72D297353CC}">
              <c16:uniqueId val="{00000000-B659-4438-86A6-1804934F2B6F}"/>
            </c:ext>
          </c:extLst>
        </c:ser>
        <c:dLbls>
          <c:dLblPos val="inEnd"/>
          <c:showLegendKey val="0"/>
          <c:showVal val="1"/>
          <c:showCatName val="0"/>
          <c:showSerName val="0"/>
          <c:showPercent val="0"/>
          <c:showBubbleSize val="0"/>
        </c:dLbls>
        <c:gapWidth val="82"/>
        <c:axId val="174273792"/>
        <c:axId val="174274752"/>
      </c:barChart>
      <c:catAx>
        <c:axId val="17427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74752"/>
        <c:crosses val="autoZero"/>
        <c:auto val="1"/>
        <c:lblAlgn val="ctr"/>
        <c:lblOffset val="100"/>
        <c:noMultiLvlLbl val="0"/>
      </c:catAx>
      <c:valAx>
        <c:axId val="174274752"/>
        <c:scaling>
          <c:orientation val="minMax"/>
        </c:scaling>
        <c:delete val="1"/>
        <c:axPos val="b"/>
        <c:numFmt formatCode="0.00,\ &quot;K&quot;" sourceLinked="1"/>
        <c:majorTickMark val="none"/>
        <c:minorTickMark val="none"/>
        <c:tickLblPos val="nextTo"/>
        <c:crossAx val="17427379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Project.xlsx]Region pie!PivotTable6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hade val="53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77000"/>
            </a:schemeClr>
          </a:solidFill>
          <a:ln w="19050">
            <a:solidFill>
              <a:schemeClr val="lt1"/>
            </a:solidFill>
          </a:ln>
          <a:effectLst/>
        </c:spPr>
      </c:pivotFmt>
      <c:pivotFmt>
        <c:idx val="5"/>
        <c:spPr>
          <a:solidFill>
            <a:schemeClr val="accent3">
              <a:tint val="54000"/>
            </a:schemeClr>
          </a:solidFill>
          <a:ln w="19050">
            <a:solidFill>
              <a:schemeClr val="lt1"/>
            </a:solidFill>
          </a:ln>
          <a:effectLst/>
        </c:spPr>
      </c:pivotFmt>
    </c:pivotFmts>
    <c:plotArea>
      <c:layout/>
      <c:pieChart>
        <c:varyColors val="1"/>
        <c:ser>
          <c:idx val="0"/>
          <c:order val="0"/>
          <c:tx>
            <c:strRef>
              <c:f>'Region pie'!$B$3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9651-44A8-B92C-D7F49849EC9F}"/>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9651-44A8-B92C-D7F49849EC9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51-44A8-B92C-D7F49849EC9F}"/>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9651-44A8-B92C-D7F49849EC9F}"/>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9651-44A8-B92C-D7F49849EC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pie'!$A$4:$A$9</c:f>
              <c:strCache>
                <c:ptCount val="5"/>
                <c:pt idx="0">
                  <c:v>Central</c:v>
                </c:pt>
                <c:pt idx="1">
                  <c:v>East</c:v>
                </c:pt>
                <c:pt idx="2">
                  <c:v>North</c:v>
                </c:pt>
                <c:pt idx="3">
                  <c:v>South</c:v>
                </c:pt>
                <c:pt idx="4">
                  <c:v>West</c:v>
                </c:pt>
              </c:strCache>
            </c:strRef>
          </c:cat>
          <c:val>
            <c:numRef>
              <c:f>'Region pie'!$B$4:$B$9</c:f>
              <c:numCache>
                <c:formatCode>0.00%</c:formatCode>
                <c:ptCount val="5"/>
                <c:pt idx="0">
                  <c:v>0.19341441756558506</c:v>
                </c:pt>
                <c:pt idx="1">
                  <c:v>0.20174320673486085</c:v>
                </c:pt>
                <c:pt idx="2">
                  <c:v>0.22099535462701547</c:v>
                </c:pt>
                <c:pt idx="3">
                  <c:v>0.18898849724347178</c:v>
                </c:pt>
                <c:pt idx="4">
                  <c:v>0.19485852382906688</c:v>
                </c:pt>
              </c:numCache>
            </c:numRef>
          </c:val>
          <c:extLst>
            <c:ext xmlns:c16="http://schemas.microsoft.com/office/drawing/2014/chart" uri="{C3380CC4-5D6E-409C-BE32-E72D297353CC}">
              <c16:uniqueId val="{00000000-EE76-46F1-94FE-E24705F864D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Project.xlsx]Return item!PivotTable22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 item'!$B$3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item'!$A$4:$A$11</c:f>
              <c:strCache>
                <c:ptCount val="7"/>
                <c:pt idx="0">
                  <c:v>Chair</c:v>
                </c:pt>
                <c:pt idx="1">
                  <c:v>Desk</c:v>
                </c:pt>
                <c:pt idx="2">
                  <c:v>Laptop</c:v>
                </c:pt>
                <c:pt idx="3">
                  <c:v>Monitor</c:v>
                </c:pt>
                <c:pt idx="4">
                  <c:v>Phone</c:v>
                </c:pt>
                <c:pt idx="5">
                  <c:v>Printer</c:v>
                </c:pt>
                <c:pt idx="6">
                  <c:v>Tablet</c:v>
                </c:pt>
              </c:strCache>
            </c:strRef>
          </c:cat>
          <c:val>
            <c:numRef>
              <c:f>'Return item'!$B$4:$B$11</c:f>
              <c:numCache>
                <c:formatCode>General</c:formatCode>
                <c:ptCount val="7"/>
                <c:pt idx="0">
                  <c:v>59</c:v>
                </c:pt>
                <c:pt idx="1">
                  <c:v>45</c:v>
                </c:pt>
                <c:pt idx="2">
                  <c:v>62</c:v>
                </c:pt>
                <c:pt idx="3">
                  <c:v>56</c:v>
                </c:pt>
                <c:pt idx="4">
                  <c:v>45</c:v>
                </c:pt>
                <c:pt idx="5">
                  <c:v>47</c:v>
                </c:pt>
                <c:pt idx="6">
                  <c:v>58</c:v>
                </c:pt>
              </c:numCache>
            </c:numRef>
          </c:val>
          <c:extLst>
            <c:ext xmlns:c16="http://schemas.microsoft.com/office/drawing/2014/chart" uri="{C3380CC4-5D6E-409C-BE32-E72D297353CC}">
              <c16:uniqueId val="{00000000-AC5B-4C90-B97B-EBADD4727172}"/>
            </c:ext>
          </c:extLst>
        </c:ser>
        <c:dLbls>
          <c:dLblPos val="outEnd"/>
          <c:showLegendKey val="0"/>
          <c:showVal val="1"/>
          <c:showCatName val="0"/>
          <c:showSerName val="0"/>
          <c:showPercent val="0"/>
          <c:showBubbleSize val="0"/>
        </c:dLbls>
        <c:gapWidth val="70"/>
        <c:overlap val="-27"/>
        <c:axId val="437685232"/>
        <c:axId val="437686672"/>
      </c:barChart>
      <c:catAx>
        <c:axId val="437685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6672"/>
        <c:crosses val="autoZero"/>
        <c:auto val="1"/>
        <c:lblAlgn val="ctr"/>
        <c:lblOffset val="100"/>
        <c:noMultiLvlLbl val="0"/>
      </c:catAx>
      <c:valAx>
        <c:axId val="437686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3768523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Project.xlsx]Manager bar!PivotTable11</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s>
    <c:plotArea>
      <c:layout>
        <c:manualLayout>
          <c:layoutTarget val="inner"/>
          <c:xMode val="edge"/>
          <c:yMode val="edge"/>
          <c:x val="0.13401159230096238"/>
          <c:y val="1.8518518518518517E-2"/>
          <c:w val="0.86598840769903762"/>
          <c:h val="0.98148137951287562"/>
        </c:manualLayout>
      </c:layout>
      <c:barChart>
        <c:barDir val="bar"/>
        <c:grouping val="clustered"/>
        <c:varyColors val="0"/>
        <c:ser>
          <c:idx val="0"/>
          <c:order val="0"/>
          <c:tx>
            <c:strRef>
              <c:f>'Manager bar'!$B$3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bar'!$A$4:$A$9</c:f>
              <c:strCache>
                <c:ptCount val="5"/>
                <c:pt idx="0">
                  <c:v>Cameron</c:v>
                </c:pt>
                <c:pt idx="1">
                  <c:v>Eric</c:v>
                </c:pt>
                <c:pt idx="2">
                  <c:v>Ryan</c:v>
                </c:pt>
                <c:pt idx="3">
                  <c:v>Sophie</c:v>
                </c:pt>
                <c:pt idx="4">
                  <c:v>Wendy</c:v>
                </c:pt>
              </c:strCache>
            </c:strRef>
          </c:cat>
          <c:val>
            <c:numRef>
              <c:f>'Manager bar'!$B$4:$B$9</c:f>
              <c:numCache>
                <c:formatCode>_("₹"* #,##0.00_);_("₹"* \(#,##0.00\);_("₹"*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5-C9CE-42CA-810D-28D3D7272E6D}"/>
            </c:ext>
          </c:extLst>
        </c:ser>
        <c:dLbls>
          <c:dLblPos val="inEnd"/>
          <c:showLegendKey val="0"/>
          <c:showVal val="1"/>
          <c:showCatName val="0"/>
          <c:showSerName val="0"/>
          <c:showPercent val="0"/>
          <c:showBubbleSize val="0"/>
        </c:dLbls>
        <c:gapWidth val="84"/>
        <c:axId val="437651632"/>
        <c:axId val="437642512"/>
      </c:barChart>
      <c:catAx>
        <c:axId val="43765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42512"/>
        <c:crosses val="autoZero"/>
        <c:auto val="1"/>
        <c:lblAlgn val="ctr"/>
        <c:lblOffset val="100"/>
        <c:noMultiLvlLbl val="0"/>
      </c:catAx>
      <c:valAx>
        <c:axId val="437642512"/>
        <c:scaling>
          <c:orientation val="minMax"/>
        </c:scaling>
        <c:delete val="1"/>
        <c:axPos val="b"/>
        <c:numFmt formatCode="_(&quot;₹&quot;* #,##0.00_);_(&quot;₹&quot;* \(#,##0.00\);_(&quot;₹&quot;* &quot;-&quot;??_);_(@_)" sourceLinked="1"/>
        <c:majorTickMark val="none"/>
        <c:minorTickMark val="none"/>
        <c:tickLblPos val="nextTo"/>
        <c:crossAx val="43765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Project.xlsx]salesman!PivotTable14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Salesperson</a:t>
            </a:r>
            <a:r>
              <a:rPr lang="en-IN" baseline="0"/>
              <a:t> leaderboard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salesman!$B$3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salesman!$A$4:$A$10</c:f>
              <c:strCache>
                <c:ptCount val="6"/>
                <c:pt idx="0">
                  <c:v>Alice</c:v>
                </c:pt>
                <c:pt idx="1">
                  <c:v>Bob</c:v>
                </c:pt>
                <c:pt idx="2">
                  <c:v>Carlos</c:v>
                </c:pt>
                <c:pt idx="3">
                  <c:v>Diana</c:v>
                </c:pt>
                <c:pt idx="4">
                  <c:v>Eva</c:v>
                </c:pt>
                <c:pt idx="5">
                  <c:v>Frank</c:v>
                </c:pt>
              </c:strCache>
            </c:strRef>
          </c:cat>
          <c:val>
            <c:numRef>
              <c:f>salesman!$B$4:$B$10</c:f>
              <c:numCache>
                <c:formatCode>0.00,\ "K"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EF50-47F4-9C21-FE4966D659F8}"/>
            </c:ext>
          </c:extLst>
        </c:ser>
        <c:dLbls>
          <c:dLblPos val="inEnd"/>
          <c:showLegendKey val="0"/>
          <c:showVal val="1"/>
          <c:showCatName val="0"/>
          <c:showSerName val="0"/>
          <c:showPercent val="0"/>
          <c:showBubbleSize val="0"/>
        </c:dLbls>
        <c:gapWidth val="52"/>
        <c:axId val="174296352"/>
        <c:axId val="174297792"/>
      </c:barChart>
      <c:catAx>
        <c:axId val="17429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7792"/>
        <c:crosses val="autoZero"/>
        <c:auto val="1"/>
        <c:lblAlgn val="ctr"/>
        <c:lblOffset val="100"/>
        <c:noMultiLvlLbl val="0"/>
      </c:catAx>
      <c:valAx>
        <c:axId val="174297792"/>
        <c:scaling>
          <c:orientation val="minMax"/>
        </c:scaling>
        <c:delete val="1"/>
        <c:axPos val="b"/>
        <c:majorGridlines>
          <c:spPr>
            <a:ln w="9525" cap="flat" cmpd="sng" algn="ctr">
              <a:solidFill>
                <a:schemeClr val="tx1">
                  <a:lumMod val="15000"/>
                  <a:lumOff val="85000"/>
                </a:schemeClr>
              </a:solidFill>
              <a:round/>
            </a:ln>
            <a:effectLst/>
          </c:spPr>
        </c:majorGridlines>
        <c:numFmt formatCode="0.00,\ &quot;K&quot;" sourceLinked="1"/>
        <c:majorTickMark val="out"/>
        <c:minorTickMark val="none"/>
        <c:tickLblPos val="nextTo"/>
        <c:crossAx val="17429635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Project.xlsx]donut!PivotTable13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s>
    <c:plotArea>
      <c:layout/>
      <c:doughnutChart>
        <c:varyColors val="1"/>
        <c:ser>
          <c:idx val="0"/>
          <c:order val="0"/>
          <c:tx>
            <c:strRef>
              <c:f>donut!$B$3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07E-45D5-8D78-9362FC53A5F4}"/>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07E-45D5-8D78-9362FC53A5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donut!$A$4:$A$6</c:f>
              <c:strCache>
                <c:ptCount val="2"/>
                <c:pt idx="0">
                  <c:v>Retail</c:v>
                </c:pt>
                <c:pt idx="1">
                  <c:v>Wholesale</c:v>
                </c:pt>
              </c:strCache>
            </c:strRef>
          </c:cat>
          <c:val>
            <c:numRef>
              <c:f>donut!$B$4:$B$6</c:f>
              <c:numCache>
                <c:formatCode>0.00%</c:formatCode>
                <c:ptCount val="2"/>
                <c:pt idx="0">
                  <c:v>0.50126241742200739</c:v>
                </c:pt>
                <c:pt idx="1">
                  <c:v>0.49873758257799261</c:v>
                </c:pt>
              </c:numCache>
            </c:numRef>
          </c:val>
          <c:extLst>
            <c:ext xmlns:c16="http://schemas.microsoft.com/office/drawing/2014/chart" uri="{C3380CC4-5D6E-409C-BE32-E72D297353CC}">
              <c16:uniqueId val="{00000000-88EA-454F-B2C1-A6CAF73A5296}"/>
            </c:ext>
          </c:extLst>
        </c:ser>
        <c:dLbls>
          <c:showLegendKey val="0"/>
          <c:showVal val="1"/>
          <c:showCatName val="0"/>
          <c:showSerName val="0"/>
          <c:showPercent val="0"/>
          <c:showBubbleSize val="0"/>
          <c:showLeaderLines val="1"/>
        </c:dLbls>
        <c:firstSliceAng val="0"/>
        <c:holeSize val="75"/>
      </c:doughnutChart>
      <c:spPr>
        <a:noFill/>
        <a:ln>
          <a:solidFill>
            <a:schemeClr val="accent3">
              <a:lumMod val="20000"/>
              <a:lumOff val="80000"/>
            </a:schemeClr>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Project.xlsx]store sales!PivotTable15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'store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B3-4554-B1DB-3191D94B3D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B3-4554-B1DB-3191D94B3D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B3-4554-B1DB-3191D94B3D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B3-4554-B1DB-3191D94B3D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 sales'!$A$4:$A$8</c:f>
              <c:strCache>
                <c:ptCount val="4"/>
                <c:pt idx="0">
                  <c:v>Store A</c:v>
                </c:pt>
                <c:pt idx="1">
                  <c:v>Store B</c:v>
                </c:pt>
                <c:pt idx="2">
                  <c:v>Store C</c:v>
                </c:pt>
                <c:pt idx="3">
                  <c:v>Store D</c:v>
                </c:pt>
              </c:strCache>
            </c:strRef>
          </c:cat>
          <c:val>
            <c:numRef>
              <c:f>'store sales'!$B$4:$B$8</c:f>
              <c:numCache>
                <c:formatCode>0.00%</c:formatCode>
                <c:ptCount val="4"/>
                <c:pt idx="0">
                  <c:v>0.24851928896433706</c:v>
                </c:pt>
                <c:pt idx="1">
                  <c:v>0.23508012155459837</c:v>
                </c:pt>
                <c:pt idx="2">
                  <c:v>0.24116589691497467</c:v>
                </c:pt>
                <c:pt idx="3">
                  <c:v>0.27523469256609001</c:v>
                </c:pt>
              </c:numCache>
            </c:numRef>
          </c:val>
          <c:extLst>
            <c:ext xmlns:c16="http://schemas.microsoft.com/office/drawing/2014/chart" uri="{C3380CC4-5D6E-409C-BE32-E72D297353CC}">
              <c16:uniqueId val="{00000000-A409-402B-A7BB-D6BA842EEA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Project.xlsx]sales trend!PivotTable5</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s>
    <c:plotArea>
      <c:layout>
        <c:manualLayout>
          <c:layoutTarget val="inner"/>
          <c:xMode val="edge"/>
          <c:yMode val="edge"/>
          <c:x val="0.05"/>
          <c:y val="4.9356439615353756E-2"/>
          <c:w val="0.93888888888888888"/>
          <c:h val="0.83170809980630156"/>
        </c:manualLayout>
      </c:layout>
      <c:barChart>
        <c:barDir val="col"/>
        <c:grouping val="clustered"/>
        <c:varyColors val="0"/>
        <c:ser>
          <c:idx val="0"/>
          <c:order val="0"/>
          <c:tx>
            <c:strRef>
              <c:f>'sales trend'!$B$3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 "K"</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extLst>
            <c:ext xmlns:c16="http://schemas.microsoft.com/office/drawing/2014/chart" uri="{C3380CC4-5D6E-409C-BE32-E72D297353CC}">
              <c16:uniqueId val="{00000000-0779-4784-889E-1E58DDD6614B}"/>
            </c:ext>
          </c:extLst>
        </c:ser>
        <c:dLbls>
          <c:dLblPos val="inEnd"/>
          <c:showLegendKey val="0"/>
          <c:showVal val="1"/>
          <c:showCatName val="0"/>
          <c:showSerName val="0"/>
          <c:showPercent val="0"/>
          <c:showBubbleSize val="0"/>
        </c:dLbls>
        <c:gapWidth val="55"/>
        <c:overlap val="-90"/>
        <c:axId val="437681872"/>
        <c:axId val="437682352"/>
      </c:barChart>
      <c:catAx>
        <c:axId val="437681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437682352"/>
        <c:crosses val="autoZero"/>
        <c:auto val="1"/>
        <c:lblAlgn val="ctr"/>
        <c:lblOffset val="100"/>
        <c:noMultiLvlLbl val="0"/>
      </c:catAx>
      <c:valAx>
        <c:axId val="437682352"/>
        <c:scaling>
          <c:orientation val="minMax"/>
        </c:scaling>
        <c:delete val="1"/>
        <c:axPos val="l"/>
        <c:numFmt formatCode="0.00,\ &quot;K&quot;" sourceLinked="1"/>
        <c:majorTickMark val="out"/>
        <c:minorTickMark val="none"/>
        <c:tickLblPos val="nextTo"/>
        <c:crossAx val="437681872"/>
        <c:crosses val="autoZero"/>
        <c:crossBetween val="between"/>
      </c:valAx>
      <c:spPr>
        <a:solidFill>
          <a:schemeClr val="accent3">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Project.xlsx]payment!PivotTable23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hade val="53000"/>
            </a:schemeClr>
          </a:solidFill>
          <a:ln w="19050">
            <a:solidFill>
              <a:schemeClr val="lt1"/>
            </a:solidFill>
          </a:ln>
          <a:effectLst/>
        </c:spPr>
      </c:pivotFmt>
      <c:pivotFmt>
        <c:idx val="2"/>
        <c:spPr>
          <a:solidFill>
            <a:schemeClr val="accent3">
              <a:shade val="76000"/>
            </a:schemeClr>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tint val="77000"/>
            </a:schemeClr>
          </a:solidFill>
          <a:ln w="19050">
            <a:solidFill>
              <a:schemeClr val="lt1"/>
            </a:solidFill>
          </a:ln>
          <a:effectLst/>
        </c:spPr>
      </c:pivotFmt>
      <c:pivotFmt>
        <c:idx val="5"/>
        <c:spPr>
          <a:solidFill>
            <a:schemeClr val="accent3">
              <a:tint val="54000"/>
            </a:schemeClr>
          </a:solidFill>
          <a:ln w="19050">
            <a:solidFill>
              <a:schemeClr val="lt1"/>
            </a:solidFill>
          </a:ln>
          <a:effectLst/>
        </c:spPr>
      </c:pivotFmt>
    </c:pivotFmts>
    <c:plotArea>
      <c:layout/>
      <c:pieChart>
        <c:varyColors val="1"/>
        <c:ser>
          <c:idx val="0"/>
          <c:order val="0"/>
          <c:tx>
            <c:strRef>
              <c:f>payment!$B$3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D185-48E2-9990-E33D4C34877E}"/>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D185-48E2-9990-E33D4C3487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85-48E2-9990-E33D4C34877E}"/>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D185-48E2-9990-E33D4C34877E}"/>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D185-48E2-9990-E33D4C3487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payment!$A$4:$A$9</c:f>
              <c:strCache>
                <c:ptCount val="5"/>
                <c:pt idx="0">
                  <c:v>Cash</c:v>
                </c:pt>
                <c:pt idx="1">
                  <c:v>Credit Card</c:v>
                </c:pt>
                <c:pt idx="2">
                  <c:v>Debit Card</c:v>
                </c:pt>
                <c:pt idx="3">
                  <c:v>Gift Card</c:v>
                </c:pt>
                <c:pt idx="4">
                  <c:v>Online</c:v>
                </c:pt>
              </c:strCache>
            </c:strRef>
          </c:cat>
          <c:val>
            <c:numRef>
              <c:f>payment!$B$4:$B$9</c:f>
              <c:numCache>
                <c:formatCode>0.00%</c:formatCode>
                <c:ptCount val="5"/>
                <c:pt idx="0">
                  <c:v>0.21698390225881636</c:v>
                </c:pt>
                <c:pt idx="1">
                  <c:v>0.19782759642731654</c:v>
                </c:pt>
                <c:pt idx="2">
                  <c:v>0.17589543282928533</c:v>
                </c:pt>
                <c:pt idx="3">
                  <c:v>0.18757689754303192</c:v>
                </c:pt>
                <c:pt idx="4">
                  <c:v>0.22171617094154983</c:v>
                </c:pt>
              </c:numCache>
            </c:numRef>
          </c:val>
          <c:extLst>
            <c:ext xmlns:c16="http://schemas.microsoft.com/office/drawing/2014/chart" uri="{C3380CC4-5D6E-409C-BE32-E72D297353CC}">
              <c16:uniqueId val="{00000000-AB0B-46D0-87DB-AEE90D46254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Project.xlsx]sales trend!PivotTable5</c:name>
    <c:fmtId val="19"/>
  </c:pivotSource>
  <c:chart>
    <c:autoTitleDeleted val="1"/>
    <c:pivotFmts>
      <c:pivotFmt>
        <c:idx val="0"/>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w="6350">
              <a:solidFill>
                <a:schemeClr val="accent3">
                  <a:shade val="95000"/>
                  <a:satMod val="105000"/>
                </a:schemeClr>
              </a:solid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3"/>
          </a:solidFill>
          <a:ln>
            <a:noFill/>
          </a:ln>
          <a:effectLst/>
        </c:spPr>
        <c:marker>
          <c:symbol val="none"/>
        </c:marker>
        <c:dLbl>
          <c:idx val="0"/>
          <c:spPr>
            <a:noFill/>
            <a:ln w="6350">
              <a:solidFill>
                <a:schemeClr val="accent3">
                  <a:shade val="95000"/>
                  <a:satMod val="105000"/>
                </a:schemeClr>
              </a:solid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w="6350">
              <a:solidFill>
                <a:schemeClr val="accent3">
                  <a:shade val="95000"/>
                  <a:satMod val="105000"/>
                </a:schemeClr>
              </a:solid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5"/>
          <c:y val="4.9356439615353756E-2"/>
          <c:w val="0.93888888888888888"/>
          <c:h val="0.83170809980630156"/>
        </c:manualLayout>
      </c:layout>
      <c:barChart>
        <c:barDir val="col"/>
        <c:grouping val="clustered"/>
        <c:varyColors val="0"/>
        <c:ser>
          <c:idx val="0"/>
          <c:order val="0"/>
          <c:tx>
            <c:strRef>
              <c:f>'sales trend'!$B$3</c:f>
              <c:strCache>
                <c:ptCount val="1"/>
                <c:pt idx="0">
                  <c:v>Total</c:v>
                </c:pt>
              </c:strCache>
            </c:strRef>
          </c:tx>
          <c:spPr>
            <a:solidFill>
              <a:schemeClr val="accent3"/>
            </a:solidFill>
            <a:ln>
              <a:noFill/>
            </a:ln>
            <a:effectLst/>
          </c:spPr>
          <c:invertIfNegative val="0"/>
          <c:dLbls>
            <c:spPr>
              <a:noFill/>
              <a:ln w="6350">
                <a:solidFill>
                  <a:schemeClr val="accent3">
                    <a:shade val="95000"/>
                    <a:satMod val="105000"/>
                  </a:schemeClr>
                </a:solid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 "K"</c:formatCode>
                <c:ptCount val="12"/>
                <c:pt idx="0">
                  <c:v>498358.50149999995</c:v>
                </c:pt>
                <c:pt idx="1">
                  <c:v>415057.81349999999</c:v>
                </c:pt>
                <c:pt idx="2">
                  <c:v>532090.95349999995</c:v>
                </c:pt>
                <c:pt idx="3">
                  <c:v>443318.72650000016</c:v>
                </c:pt>
                <c:pt idx="4">
                  <c:v>402408.02549999999</c:v>
                </c:pt>
                <c:pt idx="5">
                  <c:v>434261.66899999999</c:v>
                </c:pt>
                <c:pt idx="6">
                  <c:v>280050.04749999981</c:v>
                </c:pt>
                <c:pt idx="7">
                  <c:v>289639.00349999999</c:v>
                </c:pt>
                <c:pt idx="8">
                  <c:v>282114.64899999998</c:v>
                </c:pt>
                <c:pt idx="9">
                  <c:v>256612.897</c:v>
                </c:pt>
                <c:pt idx="10">
                  <c:v>283330.62000000005</c:v>
                </c:pt>
                <c:pt idx="11">
                  <c:v>262749.522</c:v>
                </c:pt>
              </c:numCache>
            </c:numRef>
          </c:val>
          <c:extLst>
            <c:ext xmlns:c16="http://schemas.microsoft.com/office/drawing/2014/chart" uri="{C3380CC4-5D6E-409C-BE32-E72D297353CC}">
              <c16:uniqueId val="{00000000-1872-4B57-A54E-488F118698DE}"/>
            </c:ext>
          </c:extLst>
        </c:ser>
        <c:dLbls>
          <c:dLblPos val="inEnd"/>
          <c:showLegendKey val="0"/>
          <c:showVal val="1"/>
          <c:showCatName val="0"/>
          <c:showSerName val="0"/>
          <c:showPercent val="0"/>
          <c:showBubbleSize val="0"/>
        </c:dLbls>
        <c:gapWidth val="55"/>
        <c:overlap val="-90"/>
        <c:axId val="437681872"/>
        <c:axId val="437682352"/>
      </c:barChart>
      <c:catAx>
        <c:axId val="437681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437682352"/>
        <c:crosses val="autoZero"/>
        <c:auto val="1"/>
        <c:lblAlgn val="ctr"/>
        <c:lblOffset val="100"/>
        <c:noMultiLvlLbl val="0"/>
      </c:catAx>
      <c:valAx>
        <c:axId val="437682352"/>
        <c:scaling>
          <c:orientation val="minMax"/>
        </c:scaling>
        <c:delete val="1"/>
        <c:axPos val="l"/>
        <c:numFmt formatCode="0.00,\ &quot;K&quot;" sourceLinked="1"/>
        <c:majorTickMark val="out"/>
        <c:minorTickMark val="none"/>
        <c:tickLblPos val="nextTo"/>
        <c:crossAx val="43768187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Project.xlsx]bar!PivotTable12</c:name>
    <c:fmtId val="11"/>
  </c:pivotSource>
  <c:chart>
    <c:autoTitleDeleted val="1"/>
    <c:pivotFmts>
      <c:pivotFmt>
        <c:idx val="0"/>
        <c:spPr>
          <a:solidFill>
            <a:schemeClr val="accent3"/>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bar!$B$3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bar!$A$4:$A$11</c:f>
              <c:strCache>
                <c:ptCount val="7"/>
                <c:pt idx="0">
                  <c:v>Chair</c:v>
                </c:pt>
                <c:pt idx="1">
                  <c:v>Desk</c:v>
                </c:pt>
                <c:pt idx="2">
                  <c:v>Laptop</c:v>
                </c:pt>
                <c:pt idx="3">
                  <c:v>Monitor</c:v>
                </c:pt>
                <c:pt idx="4">
                  <c:v>Phone</c:v>
                </c:pt>
                <c:pt idx="5">
                  <c:v>Printer</c:v>
                </c:pt>
                <c:pt idx="6">
                  <c:v>Tablet</c:v>
                </c:pt>
              </c:strCache>
            </c:strRef>
          </c:cat>
          <c:val>
            <c:numRef>
              <c:f>bar!$B$4:$B$11</c:f>
              <c:numCache>
                <c:formatCode>0.00,\ "K"</c:formatCode>
                <c:ptCount val="7"/>
                <c:pt idx="0">
                  <c:v>622589.47800000012</c:v>
                </c:pt>
                <c:pt idx="1">
                  <c:v>555266.6645000003</c:v>
                </c:pt>
                <c:pt idx="2">
                  <c:v>684417.24150000012</c:v>
                </c:pt>
                <c:pt idx="3">
                  <c:v>651629.39249999973</c:v>
                </c:pt>
                <c:pt idx="4">
                  <c:v>497162.85099999979</c:v>
                </c:pt>
                <c:pt idx="5">
                  <c:v>684387.4155000007</c:v>
                </c:pt>
                <c:pt idx="6">
                  <c:v>684539.38550000067</c:v>
                </c:pt>
              </c:numCache>
            </c:numRef>
          </c:val>
          <c:extLst>
            <c:ext xmlns:c16="http://schemas.microsoft.com/office/drawing/2014/chart" uri="{C3380CC4-5D6E-409C-BE32-E72D297353CC}">
              <c16:uniqueId val="{00000000-99E8-4B70-9B18-8AC3E249E997}"/>
            </c:ext>
          </c:extLst>
        </c:ser>
        <c:dLbls>
          <c:dLblPos val="inEnd"/>
          <c:showLegendKey val="0"/>
          <c:showVal val="1"/>
          <c:showCatName val="0"/>
          <c:showSerName val="0"/>
          <c:showPercent val="0"/>
          <c:showBubbleSize val="0"/>
        </c:dLbls>
        <c:gapWidth val="124"/>
        <c:overlap val="-90"/>
        <c:axId val="437698192"/>
        <c:axId val="437640592"/>
      </c:barChart>
      <c:catAx>
        <c:axId val="4376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37640592"/>
        <c:crosses val="autoZero"/>
        <c:auto val="1"/>
        <c:lblAlgn val="ctr"/>
        <c:lblOffset val="100"/>
        <c:noMultiLvlLbl val="0"/>
      </c:catAx>
      <c:valAx>
        <c:axId val="437640592"/>
        <c:scaling>
          <c:orientation val="minMax"/>
        </c:scaling>
        <c:delete val="1"/>
        <c:axPos val="l"/>
        <c:numFmt formatCode="0.00,\ &quot;K&quot;" sourceLinked="1"/>
        <c:majorTickMark val="none"/>
        <c:minorTickMark val="none"/>
        <c:tickLblPos val="nextTo"/>
        <c:crossAx val="43769819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Project.xlsx]salesman!PivotTable14</c:name>
    <c:fmtId val="6"/>
  </c:pivotSource>
  <c:chart>
    <c:autoTitleDeleted val="1"/>
    <c:pivotFmts>
      <c:pivotFmt>
        <c:idx val="0"/>
        <c:spPr>
          <a:solidFill>
            <a:schemeClr val="accent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4575005047446"/>
          <c:y val="0.11178861788617886"/>
          <c:w val="0.75164506359781946"/>
          <c:h val="0.77642276422764223"/>
        </c:manualLayout>
      </c:layout>
      <c:barChart>
        <c:barDir val="bar"/>
        <c:grouping val="clustered"/>
        <c:varyColors val="0"/>
        <c:ser>
          <c:idx val="0"/>
          <c:order val="0"/>
          <c:tx>
            <c:strRef>
              <c:f>salesman!$B$3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salesman!$A$4:$A$10</c:f>
              <c:strCache>
                <c:ptCount val="6"/>
                <c:pt idx="0">
                  <c:v>Alice</c:v>
                </c:pt>
                <c:pt idx="1">
                  <c:v>Bob</c:v>
                </c:pt>
                <c:pt idx="2">
                  <c:v>Carlos</c:v>
                </c:pt>
                <c:pt idx="3">
                  <c:v>Diana</c:v>
                </c:pt>
                <c:pt idx="4">
                  <c:v>Eva</c:v>
                </c:pt>
                <c:pt idx="5">
                  <c:v>Frank</c:v>
                </c:pt>
              </c:strCache>
            </c:strRef>
          </c:cat>
          <c:val>
            <c:numRef>
              <c:f>salesman!$B$4:$B$10</c:f>
              <c:numCache>
                <c:formatCode>0.00,\ "K"</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DCC2-4534-B6E2-D8F7228A26F8}"/>
            </c:ext>
          </c:extLst>
        </c:ser>
        <c:dLbls>
          <c:dLblPos val="inEnd"/>
          <c:showLegendKey val="0"/>
          <c:showVal val="1"/>
          <c:showCatName val="0"/>
          <c:showSerName val="0"/>
          <c:showPercent val="0"/>
          <c:showBubbleSize val="0"/>
        </c:dLbls>
        <c:gapWidth val="52"/>
        <c:axId val="174296352"/>
        <c:axId val="174297792"/>
      </c:barChart>
      <c:catAx>
        <c:axId val="174296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7792"/>
        <c:crosses val="autoZero"/>
        <c:auto val="1"/>
        <c:lblAlgn val="ctr"/>
        <c:lblOffset val="100"/>
        <c:noMultiLvlLbl val="0"/>
      </c:catAx>
      <c:valAx>
        <c:axId val="174297792"/>
        <c:scaling>
          <c:orientation val="minMax"/>
        </c:scaling>
        <c:delete val="1"/>
        <c:axPos val="b"/>
        <c:numFmt formatCode="0.00,\ &quot;K&quot;" sourceLinked="1"/>
        <c:majorTickMark val="out"/>
        <c:minorTickMark val="none"/>
        <c:tickLblPos val="nextTo"/>
        <c:crossAx val="17429635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114468840166583E-2"/>
          <c:y val="8.964232523539821E-2"/>
          <c:w val="0.88392697816281396"/>
          <c:h val="0.68158466491383107"/>
        </c:manualLayout>
      </c:layout>
      <c:scatterChart>
        <c:scatterStyle val="smoothMarker"/>
        <c:varyColors val="0"/>
        <c:ser>
          <c:idx val="0"/>
          <c:order val="0"/>
          <c:spPr>
            <a:ln w="19050" cap="rnd">
              <a:solidFill>
                <a:schemeClr val="accent3"/>
              </a:solidFill>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19050" cap="rnd">
                <a:solidFill>
                  <a:schemeClr val="accent3">
                    <a:lumMod val="50000"/>
                    <a:alpha val="62000"/>
                  </a:schemeClr>
                </a:solidFill>
                <a:round/>
              </a:ln>
              <a:effectLst/>
            </c:spPr>
            <c:extLst>
              <c:ext xmlns:c16="http://schemas.microsoft.com/office/drawing/2014/chart" uri="{C3380CC4-5D6E-409C-BE32-E72D297353CC}">
                <c16:uniqueId val="{00000001-8D08-4785-8A5D-A8C048FF0D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Discount!$D$4:$D$7</c:f>
              <c:numCache>
                <c:formatCode>General</c:formatCode>
                <c:ptCount val="4"/>
                <c:pt idx="0">
                  <c:v>0</c:v>
                </c:pt>
                <c:pt idx="1">
                  <c:v>0.05</c:v>
                </c:pt>
                <c:pt idx="2">
                  <c:v>0.1</c:v>
                </c:pt>
                <c:pt idx="3">
                  <c:v>0.15</c:v>
                </c:pt>
              </c:numCache>
            </c:numRef>
          </c:xVal>
          <c:yVal>
            <c:numRef>
              <c:f>Discount!$E$4:$E$7</c:f>
              <c:numCache>
                <c:formatCode>0,\ "K"</c:formatCode>
                <c:ptCount val="4"/>
                <c:pt idx="0">
                  <c:v>1217674.1699999995</c:v>
                </c:pt>
                <c:pt idx="1">
                  <c:v>1127900.7620000008</c:v>
                </c:pt>
                <c:pt idx="2">
                  <c:v>1078306.344</c:v>
                </c:pt>
                <c:pt idx="3">
                  <c:v>956111.15250000067</c:v>
                </c:pt>
              </c:numCache>
            </c:numRef>
          </c:yVal>
          <c:smooth val="1"/>
          <c:extLst>
            <c:ext xmlns:c16="http://schemas.microsoft.com/office/drawing/2014/chart" uri="{C3380CC4-5D6E-409C-BE32-E72D297353CC}">
              <c16:uniqueId val="{00000002-8D08-4785-8A5D-A8C048FF0D1D}"/>
            </c:ext>
          </c:extLst>
        </c:ser>
        <c:dLbls>
          <c:dLblPos val="t"/>
          <c:showLegendKey val="0"/>
          <c:showVal val="1"/>
          <c:showCatName val="0"/>
          <c:showSerName val="0"/>
          <c:showPercent val="0"/>
          <c:showBubbleSize val="0"/>
        </c:dLbls>
        <c:axId val="174271392"/>
        <c:axId val="174288192"/>
      </c:scatterChart>
      <c:valAx>
        <c:axId val="17427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88192"/>
        <c:crosses val="autoZero"/>
        <c:crossBetween val="midCat"/>
      </c:valAx>
      <c:valAx>
        <c:axId val="174288192"/>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crossAx val="174271392"/>
        <c:crosses val="autoZero"/>
        <c:crossBetween val="midCat"/>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Project.xlsx]Manager bar!PivotTable11</c:name>
    <c:fmtId val="21"/>
  </c:pivotSource>
  <c:chart>
    <c:autoTitleDeleted val="1"/>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pivotFmt>
      <c:pivotFmt>
        <c:idx val="1"/>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1152037203404"/>
          <c:y val="1.8518700787401577E-2"/>
          <c:w val="0.86598840769903762"/>
          <c:h val="0.98148137951287562"/>
        </c:manualLayout>
      </c:layout>
      <c:barChart>
        <c:barDir val="bar"/>
        <c:grouping val="clustered"/>
        <c:varyColors val="0"/>
        <c:ser>
          <c:idx val="0"/>
          <c:order val="0"/>
          <c:tx>
            <c:strRef>
              <c:f>'Manager bar'!$B$3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'Manager bar'!$A$4:$A$9</c:f>
              <c:strCache>
                <c:ptCount val="5"/>
                <c:pt idx="0">
                  <c:v>Cameron</c:v>
                </c:pt>
                <c:pt idx="1">
                  <c:v>Eric</c:v>
                </c:pt>
                <c:pt idx="2">
                  <c:v>Ryan</c:v>
                </c:pt>
                <c:pt idx="3">
                  <c:v>Sophie</c:v>
                </c:pt>
                <c:pt idx="4">
                  <c:v>Wendy</c:v>
                </c:pt>
              </c:strCache>
            </c:strRef>
          </c:cat>
          <c:val>
            <c:numRef>
              <c:f>'Manager bar'!$B$4:$B$9</c:f>
              <c:numCache>
                <c:formatCode>_("₹"* #,##0.00_);_("₹"* \(#,##0.00\);_("₹"* "-"??_);_(@_)</c:formatCode>
                <c:ptCount val="5"/>
                <c:pt idx="0">
                  <c:v>847153.68450000032</c:v>
                </c:pt>
                <c:pt idx="1">
                  <c:v>883633.71800000116</c:v>
                </c:pt>
                <c:pt idx="2">
                  <c:v>967957.98000000068</c:v>
                </c:pt>
                <c:pt idx="3">
                  <c:v>827768.18699999992</c:v>
                </c:pt>
                <c:pt idx="4">
                  <c:v>853478.85900000017</c:v>
                </c:pt>
              </c:numCache>
            </c:numRef>
          </c:val>
          <c:extLst>
            <c:ext xmlns:c16="http://schemas.microsoft.com/office/drawing/2014/chart" uri="{C3380CC4-5D6E-409C-BE32-E72D297353CC}">
              <c16:uniqueId val="{00000000-85E3-4821-98FA-0DDB23EFED50}"/>
            </c:ext>
          </c:extLst>
        </c:ser>
        <c:dLbls>
          <c:dLblPos val="inEnd"/>
          <c:showLegendKey val="0"/>
          <c:showVal val="1"/>
          <c:showCatName val="0"/>
          <c:showSerName val="0"/>
          <c:showPercent val="0"/>
          <c:showBubbleSize val="0"/>
        </c:dLbls>
        <c:gapWidth val="84"/>
        <c:axId val="437651632"/>
        <c:axId val="437642512"/>
      </c:barChart>
      <c:catAx>
        <c:axId val="43765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42512"/>
        <c:crosses val="autoZero"/>
        <c:auto val="1"/>
        <c:lblAlgn val="ctr"/>
        <c:lblOffset val="100"/>
        <c:noMultiLvlLbl val="0"/>
      </c:catAx>
      <c:valAx>
        <c:axId val="437642512"/>
        <c:scaling>
          <c:orientation val="minMax"/>
        </c:scaling>
        <c:delete val="1"/>
        <c:axPos val="b"/>
        <c:numFmt formatCode="_(&quot;₹&quot;* #,##0.00_);_(&quot;₹&quot;* \(#,##0.00\);_(&quot;₹&quot;* &quot;-&quot;??_);_(@_)" sourceLinked="1"/>
        <c:majorTickMark val="none"/>
        <c:minorTickMark val="none"/>
        <c:tickLblPos val="nextTo"/>
        <c:crossAx val="43765163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Project.xlsx]promotion !PivotTable16</c:name>
    <c:fmtId val="6"/>
  </c:pivotSource>
  <c:chart>
    <c:autoTitleDeleted val="1"/>
    <c:pivotFmts>
      <c:pivotFmt>
        <c:idx val="0"/>
        <c:spPr>
          <a:solidFill>
            <a:schemeClr val="accent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'promotion '!$B$3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 '!$A$4:$A$8</c:f>
              <c:strCache>
                <c:ptCount val="4"/>
                <c:pt idx="0">
                  <c:v>FREESHIP</c:v>
                </c:pt>
                <c:pt idx="1">
                  <c:v>SAVE10</c:v>
                </c:pt>
                <c:pt idx="2">
                  <c:v>WINTER15</c:v>
                </c:pt>
                <c:pt idx="3">
                  <c:v>(blank)</c:v>
                </c:pt>
              </c:strCache>
            </c:strRef>
          </c:cat>
          <c:val>
            <c:numRef>
              <c:f>'promotion '!$B$4:$B$8</c:f>
              <c:numCache>
                <c:formatCode>0.00,\ "K"</c:formatCode>
                <c:ptCount val="4"/>
                <c:pt idx="0">
                  <c:v>1238076.9235000007</c:v>
                </c:pt>
                <c:pt idx="1">
                  <c:v>989656.80550000037</c:v>
                </c:pt>
                <c:pt idx="2">
                  <c:v>1078011.9280000005</c:v>
                </c:pt>
                <c:pt idx="3">
                  <c:v>1074246.7715000003</c:v>
                </c:pt>
              </c:numCache>
            </c:numRef>
          </c:val>
          <c:extLst>
            <c:ext xmlns:c16="http://schemas.microsoft.com/office/drawing/2014/chart" uri="{C3380CC4-5D6E-409C-BE32-E72D297353CC}">
              <c16:uniqueId val="{00000000-516E-4925-96C1-F073EFF738F1}"/>
            </c:ext>
          </c:extLst>
        </c:ser>
        <c:dLbls>
          <c:dLblPos val="inEnd"/>
          <c:showLegendKey val="0"/>
          <c:showVal val="1"/>
          <c:showCatName val="0"/>
          <c:showSerName val="0"/>
          <c:showPercent val="0"/>
          <c:showBubbleSize val="0"/>
        </c:dLbls>
        <c:gapWidth val="82"/>
        <c:axId val="174273792"/>
        <c:axId val="174274752"/>
      </c:barChart>
      <c:catAx>
        <c:axId val="17427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74752"/>
        <c:crosses val="autoZero"/>
        <c:auto val="1"/>
        <c:lblAlgn val="ctr"/>
        <c:lblOffset val="100"/>
        <c:noMultiLvlLbl val="0"/>
      </c:catAx>
      <c:valAx>
        <c:axId val="174274752"/>
        <c:scaling>
          <c:orientation val="minMax"/>
        </c:scaling>
        <c:delete val="1"/>
        <c:axPos val="b"/>
        <c:numFmt formatCode="0.00,\ &quot;K&quot;" sourceLinked="1"/>
        <c:majorTickMark val="none"/>
        <c:minorTickMark val="none"/>
        <c:tickLblPos val="nextTo"/>
        <c:crossAx val="17427379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Project.xlsx]Return item!PivotTable22</c:name>
    <c:fmtId val="10"/>
  </c:pivotSource>
  <c:chart>
    <c:autoTitleDeleted val="1"/>
    <c:pivotFmts>
      <c:pivotFmt>
        <c:idx val="0"/>
        <c:spPr>
          <a:solidFill>
            <a:schemeClr val="accent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97156337052963E-2"/>
          <c:y val="1.7094017094017096E-2"/>
          <c:w val="0.91712799703718018"/>
          <c:h val="0.67273840769903759"/>
        </c:manualLayout>
      </c:layout>
      <c:barChart>
        <c:barDir val="col"/>
        <c:grouping val="clustered"/>
        <c:varyColors val="0"/>
        <c:ser>
          <c:idx val="0"/>
          <c:order val="0"/>
          <c:tx>
            <c:strRef>
              <c:f>'Return item'!$B$3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'Return item'!$A$4:$A$11</c:f>
              <c:strCache>
                <c:ptCount val="7"/>
                <c:pt idx="0">
                  <c:v>Chair</c:v>
                </c:pt>
                <c:pt idx="1">
                  <c:v>Desk</c:v>
                </c:pt>
                <c:pt idx="2">
                  <c:v>Laptop</c:v>
                </c:pt>
                <c:pt idx="3">
                  <c:v>Monitor</c:v>
                </c:pt>
                <c:pt idx="4">
                  <c:v>Phone</c:v>
                </c:pt>
                <c:pt idx="5">
                  <c:v>Printer</c:v>
                </c:pt>
                <c:pt idx="6">
                  <c:v>Tablet</c:v>
                </c:pt>
              </c:strCache>
            </c:strRef>
          </c:cat>
          <c:val>
            <c:numRef>
              <c:f>'Return item'!$B$4:$B$11</c:f>
              <c:numCache>
                <c:formatCode>General</c:formatCode>
                <c:ptCount val="7"/>
                <c:pt idx="0">
                  <c:v>59</c:v>
                </c:pt>
                <c:pt idx="1">
                  <c:v>45</c:v>
                </c:pt>
                <c:pt idx="2">
                  <c:v>62</c:v>
                </c:pt>
                <c:pt idx="3">
                  <c:v>56</c:v>
                </c:pt>
                <c:pt idx="4">
                  <c:v>45</c:v>
                </c:pt>
                <c:pt idx="5">
                  <c:v>47</c:v>
                </c:pt>
                <c:pt idx="6">
                  <c:v>58</c:v>
                </c:pt>
              </c:numCache>
            </c:numRef>
          </c:val>
          <c:extLst>
            <c:ext xmlns:c16="http://schemas.microsoft.com/office/drawing/2014/chart" uri="{C3380CC4-5D6E-409C-BE32-E72D297353CC}">
              <c16:uniqueId val="{00000000-4345-499A-92B0-44E02BA7295B}"/>
            </c:ext>
          </c:extLst>
        </c:ser>
        <c:dLbls>
          <c:dLblPos val="outEnd"/>
          <c:showLegendKey val="0"/>
          <c:showVal val="1"/>
          <c:showCatName val="0"/>
          <c:showSerName val="0"/>
          <c:showPercent val="0"/>
          <c:showBubbleSize val="0"/>
        </c:dLbls>
        <c:gapWidth val="70"/>
        <c:overlap val="-27"/>
        <c:axId val="437685232"/>
        <c:axId val="437686672"/>
      </c:barChart>
      <c:catAx>
        <c:axId val="437685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686672"/>
        <c:crosses val="autoZero"/>
        <c:auto val="1"/>
        <c:lblAlgn val="ctr"/>
        <c:lblOffset val="100"/>
        <c:noMultiLvlLbl val="0"/>
      </c:catAx>
      <c:valAx>
        <c:axId val="437686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37685232"/>
        <c:crosses val="autoZero"/>
        <c:crossBetween val="between"/>
      </c:valAx>
      <c:spPr>
        <a:solidFill>
          <a:schemeClr val="accent3">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Project.xlsx]Region pie!PivotTable6</c:name>
    <c:fmtId val="17"/>
  </c:pivotSource>
  <c:chart>
    <c:autoTitleDeleted val="1"/>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hade val="53000"/>
            </a:schemeClr>
          </a:solidFill>
          <a:ln w="19050">
            <a:solidFill>
              <a:schemeClr val="lt1"/>
            </a:solidFill>
          </a:ln>
          <a:effectLst/>
        </c:spPr>
      </c:pivotFmt>
      <c:pivotFmt>
        <c:idx val="3"/>
        <c:spPr>
          <a:solidFill>
            <a:schemeClr val="accent3">
              <a:shade val="76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tint val="77000"/>
            </a:schemeClr>
          </a:solidFill>
          <a:ln w="19050">
            <a:solidFill>
              <a:schemeClr val="lt1"/>
            </a:solidFill>
          </a:ln>
          <a:effectLst/>
        </c:spPr>
      </c:pivotFmt>
      <c:pivotFmt>
        <c:idx val="6"/>
        <c:spPr>
          <a:solidFill>
            <a:schemeClr val="accent3">
              <a:tint val="54000"/>
            </a:schemeClr>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hade val="53000"/>
            </a:schemeClr>
          </a:solidFill>
          <a:ln w="19050">
            <a:solidFill>
              <a:schemeClr val="lt1"/>
            </a:solidFill>
          </a:ln>
          <a:effectLst/>
        </c:spPr>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s>
    <c:plotArea>
      <c:layout/>
      <c:pieChart>
        <c:varyColors val="1"/>
        <c:ser>
          <c:idx val="0"/>
          <c:order val="0"/>
          <c:tx>
            <c:strRef>
              <c:f>'Region pie'!$B$3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7047-4510-9053-1F302B3F5062}"/>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7047-4510-9053-1F302B3F5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47-4510-9053-1F302B3F5062}"/>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7047-4510-9053-1F302B3F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7047-4510-9053-1F302B3F50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pie'!$A$4:$A$9</c:f>
              <c:strCache>
                <c:ptCount val="5"/>
                <c:pt idx="0">
                  <c:v>Central</c:v>
                </c:pt>
                <c:pt idx="1">
                  <c:v>East</c:v>
                </c:pt>
                <c:pt idx="2">
                  <c:v>North</c:v>
                </c:pt>
                <c:pt idx="3">
                  <c:v>South</c:v>
                </c:pt>
                <c:pt idx="4">
                  <c:v>West</c:v>
                </c:pt>
              </c:strCache>
            </c:strRef>
          </c:cat>
          <c:val>
            <c:numRef>
              <c:f>'Region pie'!$B$4:$B$9</c:f>
              <c:numCache>
                <c:formatCode>0.00%</c:formatCode>
                <c:ptCount val="5"/>
                <c:pt idx="0">
                  <c:v>0.19341441756558506</c:v>
                </c:pt>
                <c:pt idx="1">
                  <c:v>0.20174320673486085</c:v>
                </c:pt>
                <c:pt idx="2">
                  <c:v>0.22099535462701547</c:v>
                </c:pt>
                <c:pt idx="3">
                  <c:v>0.18898849724347178</c:v>
                </c:pt>
                <c:pt idx="4">
                  <c:v>0.19485852382906688</c:v>
                </c:pt>
              </c:numCache>
            </c:numRef>
          </c:val>
          <c:extLst>
            <c:ext xmlns:c16="http://schemas.microsoft.com/office/drawing/2014/chart" uri="{C3380CC4-5D6E-409C-BE32-E72D297353CC}">
              <c16:uniqueId val="{0000000A-7047-4510-9053-1F302B3F50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Project.xlsx]donut!PivotTable13</c:name>
    <c:fmtId val="17"/>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w="19050">
            <a:solidFill>
              <a:schemeClr val="lt1"/>
            </a:solidFill>
          </a:ln>
          <a:effectLst/>
        </c:spPr>
      </c:pivotFmt>
      <c:pivotFmt>
        <c:idx val="6"/>
        <c:spPr>
          <a:solidFill>
            <a:schemeClr val="accent3"/>
          </a:solidFill>
          <a:ln w="19050">
            <a:solidFill>
              <a:schemeClr val="lt1"/>
            </a:solidFill>
          </a:ln>
          <a:effectLst/>
        </c:spPr>
      </c:pivotFmt>
    </c:pivotFmts>
    <c:plotArea>
      <c:layout/>
      <c:doughnutChart>
        <c:varyColors val="1"/>
        <c:ser>
          <c:idx val="0"/>
          <c:order val="0"/>
          <c:tx>
            <c:strRef>
              <c:f>donut!$B$3</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BAA6-4F74-A07E-71B678C2F72F}"/>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BAA6-4F74-A07E-71B678C2F7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donut!$A$4:$A$6</c:f>
              <c:strCache>
                <c:ptCount val="2"/>
                <c:pt idx="0">
                  <c:v>Retail</c:v>
                </c:pt>
                <c:pt idx="1">
                  <c:v>Wholesale</c:v>
                </c:pt>
              </c:strCache>
            </c:strRef>
          </c:cat>
          <c:val>
            <c:numRef>
              <c:f>donut!$B$4:$B$6</c:f>
              <c:numCache>
                <c:formatCode>0.00%</c:formatCode>
                <c:ptCount val="2"/>
                <c:pt idx="0">
                  <c:v>0.50126241742200739</c:v>
                </c:pt>
                <c:pt idx="1">
                  <c:v>0.49873758257799261</c:v>
                </c:pt>
              </c:numCache>
            </c:numRef>
          </c:val>
          <c:extLst>
            <c:ext xmlns:c16="http://schemas.microsoft.com/office/drawing/2014/chart" uri="{C3380CC4-5D6E-409C-BE32-E72D297353CC}">
              <c16:uniqueId val="{00000004-BAA6-4F74-A07E-71B678C2F72F}"/>
            </c:ext>
          </c:extLst>
        </c:ser>
        <c:dLbls>
          <c:showLegendKey val="0"/>
          <c:showVal val="1"/>
          <c:showCatName val="0"/>
          <c:showSerName val="0"/>
          <c:showPercent val="0"/>
          <c:showBubbleSize val="0"/>
          <c:showLeaderLines val="1"/>
        </c:dLbls>
        <c:firstSliceAng val="0"/>
        <c:holeSize val="75"/>
      </c:doughnutChart>
      <c:spPr>
        <a:noFill/>
        <a:ln>
          <a:solidFill>
            <a:schemeClr val="accent3">
              <a:lumMod val="20000"/>
              <a:lumOff val="80000"/>
            </a:schemeClr>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 project dataset with Dashboard EME Excel Project.xlsx]store sales!PivotTable15</c:name>
    <c:fmtId val="4"/>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'store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15-49AF-8BEE-F720DAEF44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15-49AF-8BEE-F720DAEF44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15-49AF-8BEE-F720DAEF44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15-49AF-8BEE-F720DAEF44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'store sales'!$A$4:$A$8</c:f>
              <c:strCache>
                <c:ptCount val="4"/>
                <c:pt idx="0">
                  <c:v>Store A</c:v>
                </c:pt>
                <c:pt idx="1">
                  <c:v>Store B</c:v>
                </c:pt>
                <c:pt idx="2">
                  <c:v>Store C</c:v>
                </c:pt>
                <c:pt idx="3">
                  <c:v>Store D</c:v>
                </c:pt>
              </c:strCache>
            </c:strRef>
          </c:cat>
          <c:val>
            <c:numRef>
              <c:f>'store sales'!$B$4:$B$8</c:f>
              <c:numCache>
                <c:formatCode>0.00%</c:formatCode>
                <c:ptCount val="4"/>
                <c:pt idx="0">
                  <c:v>0.24851928896433706</c:v>
                </c:pt>
                <c:pt idx="1">
                  <c:v>0.23508012155459837</c:v>
                </c:pt>
                <c:pt idx="2">
                  <c:v>0.24116589691497467</c:v>
                </c:pt>
                <c:pt idx="3">
                  <c:v>0.27523469256609001</c:v>
                </c:pt>
              </c:numCache>
            </c:numRef>
          </c:val>
          <c:extLst>
            <c:ext xmlns:c16="http://schemas.microsoft.com/office/drawing/2014/chart" uri="{C3380CC4-5D6E-409C-BE32-E72D297353CC}">
              <c16:uniqueId val="{00000008-3515-49AF-8BEE-F720DAEF4445}"/>
            </c:ext>
          </c:extLst>
        </c:ser>
        <c:dLbls>
          <c:dLblPos val="bestFit"/>
          <c:showLegendKey val="0"/>
          <c:showVal val="1"/>
          <c:showCatName val="0"/>
          <c:showSerName val="0"/>
          <c:showPercent val="0"/>
          <c:showBubbleSize val="0"/>
          <c:showLeaderLines val="1"/>
        </c:dLbls>
        <c:firstSliceAng val="0"/>
      </c:pieChart>
      <c:spPr>
        <a:solidFill>
          <a:schemeClr val="bg2">
            <a:lumMod val="90000"/>
          </a:schemeClr>
        </a:solidFill>
        <a:ln>
          <a:noFill/>
        </a:ln>
        <a:effectLst/>
      </c:spPr>
    </c:plotArea>
    <c:legend>
      <c:legendPos val="r"/>
      <c:layout>
        <c:manualLayout>
          <c:xMode val="edge"/>
          <c:yMode val="edge"/>
          <c:x val="0.65495290030493758"/>
          <c:y val="0.1323503679687098"/>
          <c:w val="0.24795972105428568"/>
          <c:h val="0.735299264062580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[Product-Sales-Region Excel project dataset with Dashboard EME Excel Project.xlsx]payment!PivotTable23</c:name>
    <c:fmtId val="7"/>
  </c:pivotSource>
  <c:chart>
    <c:autoTitleDeleted val="1"/>
    <c:pivotFmts>
      <c:pivotFmt>
        <c:idx val="0"/>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hade val="53000"/>
            </a:schemeClr>
          </a:solidFill>
          <a:ln w="19050">
            <a:solidFill>
              <a:schemeClr val="lt1"/>
            </a:solidFill>
          </a:ln>
          <a:effectLst/>
        </c:spPr>
      </c:pivotFmt>
      <c:pivotFmt>
        <c:idx val="3"/>
        <c:spPr>
          <a:solidFill>
            <a:schemeClr val="accent3">
              <a:shade val="76000"/>
            </a:schemeClr>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tint val="77000"/>
            </a:schemeClr>
          </a:solidFill>
          <a:ln w="19050">
            <a:solidFill>
              <a:schemeClr val="lt1"/>
            </a:solidFill>
          </a:ln>
          <a:effectLst/>
        </c:spPr>
      </c:pivotFmt>
      <c:pivotFmt>
        <c:idx val="6"/>
        <c:spPr>
          <a:solidFill>
            <a:schemeClr val="accent3">
              <a:tint val="54000"/>
            </a:schemeClr>
          </a:solidFill>
          <a:ln w="19050">
            <a:solidFill>
              <a:schemeClr val="lt1"/>
            </a:solidFill>
          </a:ln>
          <a:effectLst/>
        </c:spPr>
      </c:pivotFmt>
      <c:pivotFmt>
        <c:idx val="7"/>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shade val="53000"/>
            </a:schemeClr>
          </a:solidFill>
          <a:ln w="19050">
            <a:solidFill>
              <a:schemeClr val="lt1"/>
            </a:solidFill>
          </a:ln>
          <a:effectLst/>
        </c:spPr>
      </c:pivotFmt>
      <c:pivotFmt>
        <c:idx val="9"/>
        <c:spPr>
          <a:solidFill>
            <a:schemeClr val="accent3">
              <a:shade val="76000"/>
            </a:schemeClr>
          </a:solidFill>
          <a:ln w="19050">
            <a:solidFill>
              <a:schemeClr val="lt1"/>
            </a:solidFill>
          </a:ln>
          <a:effectLst/>
        </c:spPr>
      </c:pivotFmt>
      <c:pivotFmt>
        <c:idx val="10"/>
        <c:spPr>
          <a:solidFill>
            <a:schemeClr val="accent3"/>
          </a:solidFill>
          <a:ln w="19050">
            <a:solidFill>
              <a:schemeClr val="lt1"/>
            </a:solidFill>
          </a:ln>
          <a:effectLst/>
        </c:spPr>
      </c:pivotFmt>
      <c:pivotFmt>
        <c:idx val="11"/>
        <c:spPr>
          <a:solidFill>
            <a:schemeClr val="accent3">
              <a:tint val="77000"/>
            </a:schemeClr>
          </a:solidFill>
          <a:ln w="19050">
            <a:solidFill>
              <a:schemeClr val="lt1"/>
            </a:solidFill>
          </a:ln>
          <a:effectLst/>
        </c:spPr>
      </c:pivotFmt>
      <c:pivotFmt>
        <c:idx val="12"/>
        <c:spPr>
          <a:solidFill>
            <a:schemeClr val="accent3">
              <a:tint val="54000"/>
            </a:schemeClr>
          </a:solidFill>
          <a:ln w="19050">
            <a:solidFill>
              <a:schemeClr val="lt1"/>
            </a:solidFill>
          </a:ln>
          <a:effectLst/>
        </c:spPr>
      </c:pivotFmt>
    </c:pivotFmts>
    <c:plotArea>
      <c:layout/>
      <c:pieChart>
        <c:varyColors val="1"/>
        <c:ser>
          <c:idx val="0"/>
          <c:order val="0"/>
          <c:tx>
            <c:strRef>
              <c:f>payment!$B$3</c:f>
              <c:strCache>
                <c:ptCount val="1"/>
                <c:pt idx="0">
                  <c:v>Total</c:v>
                </c:pt>
              </c:strCache>
            </c:strRef>
          </c:tx>
          <c:dPt>
            <c:idx val="0"/>
            <c:bubble3D val="0"/>
            <c:spPr>
              <a:solidFill>
                <a:schemeClr val="accent3">
                  <a:shade val="53000"/>
                </a:schemeClr>
              </a:solidFill>
              <a:ln w="19050">
                <a:solidFill>
                  <a:schemeClr val="lt1"/>
                </a:solidFill>
              </a:ln>
              <a:effectLst/>
            </c:spPr>
            <c:extLst>
              <c:ext xmlns:c16="http://schemas.microsoft.com/office/drawing/2014/chart" uri="{C3380CC4-5D6E-409C-BE32-E72D297353CC}">
                <c16:uniqueId val="{00000001-BB72-41AD-A3F4-31A524075425}"/>
              </c:ext>
            </c:extLst>
          </c:dPt>
          <c:dPt>
            <c:idx val="1"/>
            <c:bubble3D val="0"/>
            <c:spPr>
              <a:solidFill>
                <a:schemeClr val="accent3">
                  <a:shade val="76000"/>
                </a:schemeClr>
              </a:solidFill>
              <a:ln w="19050">
                <a:solidFill>
                  <a:schemeClr val="lt1"/>
                </a:solidFill>
              </a:ln>
              <a:effectLst/>
            </c:spPr>
            <c:extLst>
              <c:ext xmlns:c16="http://schemas.microsoft.com/office/drawing/2014/chart" uri="{C3380CC4-5D6E-409C-BE32-E72D297353CC}">
                <c16:uniqueId val="{00000003-BB72-41AD-A3F4-31A5240754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72-41AD-A3F4-31A524075425}"/>
              </c:ext>
            </c:extLst>
          </c:dPt>
          <c:dPt>
            <c:idx val="3"/>
            <c:bubble3D val="0"/>
            <c:spPr>
              <a:solidFill>
                <a:schemeClr val="accent3">
                  <a:tint val="77000"/>
                </a:schemeClr>
              </a:solidFill>
              <a:ln w="19050">
                <a:solidFill>
                  <a:schemeClr val="lt1"/>
                </a:solidFill>
              </a:ln>
              <a:effectLst/>
            </c:spPr>
            <c:extLst>
              <c:ext xmlns:c16="http://schemas.microsoft.com/office/drawing/2014/chart" uri="{C3380CC4-5D6E-409C-BE32-E72D297353CC}">
                <c16:uniqueId val="{00000007-BB72-41AD-A3F4-31A524075425}"/>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9-BB72-41AD-A3F4-31A5240754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payment!$A$4:$A$9</c:f>
              <c:strCache>
                <c:ptCount val="5"/>
                <c:pt idx="0">
                  <c:v>Cash</c:v>
                </c:pt>
                <c:pt idx="1">
                  <c:v>Credit Card</c:v>
                </c:pt>
                <c:pt idx="2">
                  <c:v>Debit Card</c:v>
                </c:pt>
                <c:pt idx="3">
                  <c:v>Gift Card</c:v>
                </c:pt>
                <c:pt idx="4">
                  <c:v>Online</c:v>
                </c:pt>
              </c:strCache>
            </c:strRef>
          </c:cat>
          <c:val>
            <c:numRef>
              <c:f>payment!$B$4:$B$9</c:f>
              <c:numCache>
                <c:formatCode>0.00%</c:formatCode>
                <c:ptCount val="5"/>
                <c:pt idx="0">
                  <c:v>0.21698390225881636</c:v>
                </c:pt>
                <c:pt idx="1">
                  <c:v>0.19782759642731654</c:v>
                </c:pt>
                <c:pt idx="2">
                  <c:v>0.17589543282928533</c:v>
                </c:pt>
                <c:pt idx="3">
                  <c:v>0.18757689754303192</c:v>
                </c:pt>
                <c:pt idx="4">
                  <c:v>0.22171617094154983</c:v>
                </c:pt>
              </c:numCache>
            </c:numRef>
          </c:val>
          <c:extLst>
            <c:ext xmlns:c16="http://schemas.microsoft.com/office/drawing/2014/chart" uri="{C3380CC4-5D6E-409C-BE32-E72D297353CC}">
              <c16:uniqueId val="{0000000A-BB72-41AD-A3F4-31A524075425}"/>
            </c:ext>
          </c:extLst>
        </c:ser>
        <c:dLbls>
          <c:dLblPos val="ctr"/>
          <c:showLegendKey val="0"/>
          <c:showVal val="0"/>
          <c:showCatName val="0"/>
          <c:showSerName val="0"/>
          <c:showPercent val="1"/>
          <c:showBubbleSize val="0"/>
          <c:showLeaderLines val="1"/>
        </c:dLbls>
        <c:firstSliceAng val="0"/>
      </c:pieChart>
      <c:spPr>
        <a:solidFill>
          <a:schemeClr val="accent3">
            <a:lumMod val="20000"/>
            <a:lumOff val="80000"/>
          </a:schemeClr>
        </a:solid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3">
  <a:schemeClr val="accent3"/>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Reversed" id="23">
  <a:schemeClr val="accent3"/>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6">
  <a:schemeClr val="accent3"/>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6">
  <a:schemeClr val="accent3"/>
</cs:colorStyle>
</file>

<file path=xl/charts/colors2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11" Type="http://schemas.openxmlformats.org/officeDocument/2006/relationships/chart" Target="../charts/chart26.xml"/><Relationship Id="rId5" Type="http://schemas.openxmlformats.org/officeDocument/2006/relationships/chart" Target="../charts/chart20.xml"/><Relationship Id="rId10" Type="http://schemas.openxmlformats.org/officeDocument/2006/relationships/chart" Target="../charts/chart25.xml"/><Relationship Id="rId4" Type="http://schemas.openxmlformats.org/officeDocument/2006/relationships/chart" Target="../charts/chart19.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30480</xdr:colOff>
      <xdr:row>18</xdr:row>
      <xdr:rowOff>83820</xdr:rowOff>
    </xdr:from>
    <xdr:to>
      <xdr:col>1</xdr:col>
      <xdr:colOff>441960</xdr:colOff>
      <xdr:row>21</xdr:row>
      <xdr:rowOff>137160</xdr:rowOff>
    </xdr:to>
    <xdr:graphicFrame macro="">
      <xdr:nvGraphicFramePr>
        <xdr:cNvPr id="2" name="Chart 1">
          <a:extLst>
            <a:ext uri="{FF2B5EF4-FFF2-40B4-BE49-F238E27FC236}">
              <a16:creationId xmlns:a16="http://schemas.microsoft.com/office/drawing/2014/main" id="{633E7463-FF21-EBAE-1773-FE2F7AFE9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45720</xdr:colOff>
      <xdr:row>18</xdr:row>
      <xdr:rowOff>152400</xdr:rowOff>
    </xdr:from>
    <xdr:to>
      <xdr:col>4</xdr:col>
      <xdr:colOff>655320</xdr:colOff>
      <xdr:row>21</xdr:row>
      <xdr:rowOff>99060</xdr:rowOff>
    </xdr:to>
    <xdr:graphicFrame macro="">
      <xdr:nvGraphicFramePr>
        <xdr:cNvPr id="3" name="Chart 2">
          <a:extLst>
            <a:ext uri="{FF2B5EF4-FFF2-40B4-BE49-F238E27FC236}">
              <a16:creationId xmlns:a16="http://schemas.microsoft.com/office/drawing/2014/main" id="{EF5C6858-5BD1-FB9B-71F7-7FF64353C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xdr:colOff>
      <xdr:row>18</xdr:row>
      <xdr:rowOff>160020</xdr:rowOff>
    </xdr:from>
    <xdr:to>
      <xdr:col>7</xdr:col>
      <xdr:colOff>853440</xdr:colOff>
      <xdr:row>22</xdr:row>
      <xdr:rowOff>38100</xdr:rowOff>
    </xdr:to>
    <xdr:graphicFrame macro="">
      <xdr:nvGraphicFramePr>
        <xdr:cNvPr id="4" name="Chart 3">
          <a:extLst>
            <a:ext uri="{FF2B5EF4-FFF2-40B4-BE49-F238E27FC236}">
              <a16:creationId xmlns:a16="http://schemas.microsoft.com/office/drawing/2014/main" id="{BAD78D40-AECB-BB69-94F0-CC01C1BC0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213360</xdr:colOff>
      <xdr:row>18</xdr:row>
      <xdr:rowOff>175260</xdr:rowOff>
    </xdr:from>
    <xdr:to>
      <xdr:col>10</xdr:col>
      <xdr:colOff>746760</xdr:colOff>
      <xdr:row>22</xdr:row>
      <xdr:rowOff>129540</xdr:rowOff>
    </xdr:to>
    <xdr:graphicFrame macro="">
      <xdr:nvGraphicFramePr>
        <xdr:cNvPr id="5" name="Chart 4">
          <a:extLst>
            <a:ext uri="{FF2B5EF4-FFF2-40B4-BE49-F238E27FC236}">
              <a16:creationId xmlns:a16="http://schemas.microsoft.com/office/drawing/2014/main" id="{9365BD9D-B86B-A2D2-D23A-497E3A720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914400</xdr:colOff>
      <xdr:row>5</xdr:row>
      <xdr:rowOff>0</xdr:rowOff>
    </xdr:from>
    <xdr:to>
      <xdr:col>9</xdr:col>
      <xdr:colOff>129540</xdr:colOff>
      <xdr:row>20</xdr:row>
      <xdr:rowOff>0</xdr:rowOff>
    </xdr:to>
    <xdr:graphicFrame macro="">
      <xdr:nvGraphicFramePr>
        <xdr:cNvPr id="2" name="Chart 1">
          <a:extLst>
            <a:ext uri="{FF2B5EF4-FFF2-40B4-BE49-F238E27FC236}">
              <a16:creationId xmlns:a16="http://schemas.microsoft.com/office/drawing/2014/main" id="{572F4BFA-2659-7221-AEBB-280CE13E4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11</xdr:row>
      <xdr:rowOff>15240</xdr:rowOff>
    </xdr:from>
    <xdr:to>
      <xdr:col>8</xdr:col>
      <xdr:colOff>411480</xdr:colOff>
      <xdr:row>20</xdr:row>
      <xdr:rowOff>0</xdr:rowOff>
    </xdr:to>
    <xdr:graphicFrame macro="">
      <xdr:nvGraphicFramePr>
        <xdr:cNvPr id="4" name="Chart 3">
          <a:extLst>
            <a:ext uri="{FF2B5EF4-FFF2-40B4-BE49-F238E27FC236}">
              <a16:creationId xmlns:a16="http://schemas.microsoft.com/office/drawing/2014/main" id="{25D60C15-8F08-92C2-5C6B-167F5190C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251460</xdr:colOff>
      <xdr:row>5</xdr:row>
      <xdr:rowOff>30480</xdr:rowOff>
    </xdr:from>
    <xdr:to>
      <xdr:col>10</xdr:col>
      <xdr:colOff>556260</xdr:colOff>
      <xdr:row>20</xdr:row>
      <xdr:rowOff>30480</xdr:rowOff>
    </xdr:to>
    <xdr:graphicFrame macro="">
      <xdr:nvGraphicFramePr>
        <xdr:cNvPr id="2" name="Chart 1">
          <a:extLst>
            <a:ext uri="{FF2B5EF4-FFF2-40B4-BE49-F238E27FC236}">
              <a16:creationId xmlns:a16="http://schemas.microsoft.com/office/drawing/2014/main" id="{86CFE02B-1E99-1178-C9A7-A27FECE99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5</xdr:row>
      <xdr:rowOff>0</xdr:rowOff>
    </xdr:from>
    <xdr:to>
      <xdr:col>8</xdr:col>
      <xdr:colOff>533400</xdr:colOff>
      <xdr:row>17</xdr:row>
      <xdr:rowOff>22860</xdr:rowOff>
    </xdr:to>
    <xdr:graphicFrame macro="">
      <xdr:nvGraphicFramePr>
        <xdr:cNvPr id="3" name="Chart 2">
          <a:extLst>
            <a:ext uri="{FF2B5EF4-FFF2-40B4-BE49-F238E27FC236}">
              <a16:creationId xmlns:a16="http://schemas.microsoft.com/office/drawing/2014/main" id="{061387D8-0409-F96F-AFDE-619A617BB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914400</xdr:colOff>
      <xdr:row>9</xdr:row>
      <xdr:rowOff>99060</xdr:rowOff>
    </xdr:from>
    <xdr:to>
      <xdr:col>8</xdr:col>
      <xdr:colOff>586740</xdr:colOff>
      <xdr:row>20</xdr:row>
      <xdr:rowOff>0</xdr:rowOff>
    </xdr:to>
    <xdr:graphicFrame macro="">
      <xdr:nvGraphicFramePr>
        <xdr:cNvPr id="2" name="Chart 1">
          <a:extLst>
            <a:ext uri="{FF2B5EF4-FFF2-40B4-BE49-F238E27FC236}">
              <a16:creationId xmlns:a16="http://schemas.microsoft.com/office/drawing/2014/main" id="{FAE38C50-BBF8-0D18-DBCD-DCD2C6AC2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45720</xdr:colOff>
      <xdr:row>0</xdr:row>
      <xdr:rowOff>167640</xdr:rowOff>
    </xdr:from>
    <xdr:to>
      <xdr:col>8</xdr:col>
      <xdr:colOff>266700</xdr:colOff>
      <xdr:row>7</xdr:row>
      <xdr:rowOff>106680</xdr:rowOff>
    </xdr:to>
    <xdr:graphicFrame macro="">
      <xdr:nvGraphicFramePr>
        <xdr:cNvPr id="2" name="Chart 1">
          <a:extLst>
            <a:ext uri="{FF2B5EF4-FFF2-40B4-BE49-F238E27FC236}">
              <a16:creationId xmlns:a16="http://schemas.microsoft.com/office/drawing/2014/main" id="{5FF4F3CC-CDF1-1F9F-2E09-661728A58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594360</xdr:colOff>
      <xdr:row>4</xdr:row>
      <xdr:rowOff>53341</xdr:rowOff>
    </xdr:from>
    <xdr:to>
      <xdr:col>11</xdr:col>
      <xdr:colOff>594360</xdr:colOff>
      <xdr:row>10</xdr:row>
      <xdr:rowOff>68581</xdr:rowOff>
    </xdr:to>
    <mc:AlternateContent xmlns:mc="http://schemas.openxmlformats.org/markup-compatibility/2006" xmlns:a14="http://schemas.microsoft.com/office/drawing/2010/main">
      <mc:Choice Requires="a14">
        <xdr:graphicFrame macro="">
          <xdr:nvGraphicFramePr>
            <xdr:cNvPr id="4" name="Years (Date)">
              <a:extLst>
                <a:ext uri="{FF2B5EF4-FFF2-40B4-BE49-F238E27FC236}">
                  <a16:creationId xmlns:a16="http://schemas.microsoft.com/office/drawing/2014/main" id="{18D70CF1-FC15-C45E-B457-DD46E64EAA93}"/>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6202680" y="78486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419100</xdr:colOff>
      <xdr:row>3</xdr:row>
      <xdr:rowOff>53340</xdr:rowOff>
    </xdr:from>
    <xdr:to>
      <xdr:col>8</xdr:col>
      <xdr:colOff>594360</xdr:colOff>
      <xdr:row>14</xdr:row>
      <xdr:rowOff>114300</xdr:rowOff>
    </xdr:to>
    <xdr:graphicFrame macro="">
      <xdr:nvGraphicFramePr>
        <xdr:cNvPr id="2" name="Chart 1">
          <a:extLst>
            <a:ext uri="{FF2B5EF4-FFF2-40B4-BE49-F238E27FC236}">
              <a16:creationId xmlns:a16="http://schemas.microsoft.com/office/drawing/2014/main" id="{7459EC0D-D341-CDCB-DBC3-4E61D5BAB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914400</xdr:colOff>
      <xdr:row>5</xdr:row>
      <xdr:rowOff>0</xdr:rowOff>
    </xdr:from>
    <xdr:to>
      <xdr:col>9</xdr:col>
      <xdr:colOff>129540</xdr:colOff>
      <xdr:row>20</xdr:row>
      <xdr:rowOff>0</xdr:rowOff>
    </xdr:to>
    <xdr:graphicFrame macro="">
      <xdr:nvGraphicFramePr>
        <xdr:cNvPr id="3" name="Chart 2">
          <a:extLst>
            <a:ext uri="{FF2B5EF4-FFF2-40B4-BE49-F238E27FC236}">
              <a16:creationId xmlns:a16="http://schemas.microsoft.com/office/drawing/2014/main" id="{61C31C9C-0D67-E15D-0A7E-7B39D99E3A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914400</xdr:colOff>
      <xdr:row>5</xdr:row>
      <xdr:rowOff>0</xdr:rowOff>
    </xdr:from>
    <xdr:to>
      <xdr:col>9</xdr:col>
      <xdr:colOff>129540</xdr:colOff>
      <xdr:row>20</xdr:row>
      <xdr:rowOff>0</xdr:rowOff>
    </xdr:to>
    <xdr:graphicFrame macro="">
      <xdr:nvGraphicFramePr>
        <xdr:cNvPr id="2" name="Chart 1">
          <a:extLst>
            <a:ext uri="{FF2B5EF4-FFF2-40B4-BE49-F238E27FC236}">
              <a16:creationId xmlns:a16="http://schemas.microsoft.com/office/drawing/2014/main" id="{403EFA91-FAB4-E844-552F-CCC6BA10D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1181100</xdr:colOff>
      <xdr:row>7</xdr:row>
      <xdr:rowOff>38100</xdr:rowOff>
    </xdr:from>
    <xdr:to>
      <xdr:col>8</xdr:col>
      <xdr:colOff>167640</xdr:colOff>
      <xdr:row>16</xdr:row>
      <xdr:rowOff>137160</xdr:rowOff>
    </xdr:to>
    <xdr:graphicFrame macro="">
      <xdr:nvGraphicFramePr>
        <xdr:cNvPr id="2" name="Chart 1">
          <a:extLst>
            <a:ext uri="{FF2B5EF4-FFF2-40B4-BE49-F238E27FC236}">
              <a16:creationId xmlns:a16="http://schemas.microsoft.com/office/drawing/2014/main" id="{E7F45392-373F-7684-FFE8-CC1600E90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60960</xdr:colOff>
      <xdr:row>1</xdr:row>
      <xdr:rowOff>152400</xdr:rowOff>
    </xdr:from>
    <xdr:to>
      <xdr:col>9</xdr:col>
      <xdr:colOff>60960</xdr:colOff>
      <xdr:row>15</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BC00954-4D4E-6724-BA08-0510CCB4A5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77840" y="335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6</xdr:row>
      <xdr:rowOff>68580</xdr:rowOff>
    </xdr:from>
    <xdr:to>
      <xdr:col>17</xdr:col>
      <xdr:colOff>289560</xdr:colOff>
      <xdr:row>19</xdr:row>
      <xdr:rowOff>158115</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88977076-E6AA-C499-941F-31446C00868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683240" y="1165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6</xdr:row>
      <xdr:rowOff>15241</xdr:rowOff>
    </xdr:from>
    <xdr:to>
      <xdr:col>14</xdr:col>
      <xdr:colOff>601980</xdr:colOff>
      <xdr:row>10</xdr:row>
      <xdr:rowOff>144780</xdr:rowOff>
    </xdr:to>
    <mc:AlternateContent xmlns:mc="http://schemas.openxmlformats.org/markup-compatibility/2006" xmlns:a14="http://schemas.microsoft.com/office/drawing/2010/main">
      <mc:Choice Requires="a14">
        <xdr:graphicFrame macro="">
          <xdr:nvGraphicFramePr>
            <xdr:cNvPr id="5" name="CustomerType">
              <a:extLst>
                <a:ext uri="{FF2B5EF4-FFF2-40B4-BE49-F238E27FC236}">
                  <a16:creationId xmlns:a16="http://schemas.microsoft.com/office/drawing/2014/main" id="{6CD2CF33-E83F-B36C-4895-E8CC7B0A206B}"/>
                </a:ext>
              </a:extLst>
            </xdr:cNvPr>
            <xdr:cNvGraphicFramePr/>
          </xdr:nvGraphicFramePr>
          <xdr:xfrm>
            <a:off x="0" y="0"/>
            <a:ext cx="0" cy="0"/>
          </xdr:xfrm>
          <a:graphic>
            <a:graphicData uri="http://schemas.microsoft.com/office/drawing/2010/slicer">
              <sle:slicer xmlns:sle="http://schemas.microsoft.com/office/drawing/2010/slicer" name="CustomerType"/>
            </a:graphicData>
          </a:graphic>
        </xdr:graphicFrame>
      </mc:Choice>
      <mc:Fallback xmlns="">
        <xdr:sp macro="" textlink="">
          <xdr:nvSpPr>
            <xdr:cNvPr id="0" name=""/>
            <xdr:cNvSpPr>
              <a:spLocks noTextEdit="1"/>
            </xdr:cNvSpPr>
          </xdr:nvSpPr>
          <xdr:spPr>
            <a:xfrm>
              <a:off x="9235440" y="1112521"/>
              <a:ext cx="176022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914400</xdr:colOff>
      <xdr:row>5</xdr:row>
      <xdr:rowOff>0</xdr:rowOff>
    </xdr:from>
    <xdr:to>
      <xdr:col>9</xdr:col>
      <xdr:colOff>129540</xdr:colOff>
      <xdr:row>20</xdr:row>
      <xdr:rowOff>0</xdr:rowOff>
    </xdr:to>
    <xdr:graphicFrame macro="">
      <xdr:nvGraphicFramePr>
        <xdr:cNvPr id="2" name="Chart 1">
          <a:extLst>
            <a:ext uri="{FF2B5EF4-FFF2-40B4-BE49-F238E27FC236}">
              <a16:creationId xmlns:a16="http://schemas.microsoft.com/office/drawing/2014/main" id="{D57C8FF1-88EB-619F-2D9E-923B6CF79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182880</xdr:colOff>
      <xdr:row>25</xdr:row>
      <xdr:rowOff>160020</xdr:rowOff>
    </xdr:to>
    <xdr:sp macro="" textlink="">
      <xdr:nvSpPr>
        <xdr:cNvPr id="2" name="Rectangle 1">
          <a:extLst>
            <a:ext uri="{FF2B5EF4-FFF2-40B4-BE49-F238E27FC236}">
              <a16:creationId xmlns:a16="http://schemas.microsoft.com/office/drawing/2014/main" id="{2FF95A98-494C-494C-740A-D3348C8CF05D}"/>
            </a:ext>
          </a:extLst>
        </xdr:cNvPr>
        <xdr:cNvSpPr/>
      </xdr:nvSpPr>
      <xdr:spPr>
        <a:xfrm>
          <a:off x="0" y="0"/>
          <a:ext cx="14203680" cy="4732020"/>
        </a:xfrm>
        <a:prstGeom prst="rect">
          <a:avLst/>
        </a:prstGeom>
        <a:gradFill>
          <a:gsLst>
            <a:gs pos="0">
              <a:schemeClr val="accent3">
                <a:tint val="50000"/>
                <a:satMod val="300000"/>
              </a:schemeClr>
            </a:gs>
            <a:gs pos="6000">
              <a:schemeClr val="accent3">
                <a:tint val="37000"/>
                <a:satMod val="300000"/>
              </a:schemeClr>
            </a:gs>
            <a:gs pos="100000">
              <a:schemeClr val="accent3">
                <a:tint val="15000"/>
                <a:satMod val="350000"/>
              </a:schemeClr>
            </a:gs>
          </a:gsLst>
        </a:gra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30480</xdr:colOff>
      <xdr:row>0</xdr:row>
      <xdr:rowOff>30480</xdr:rowOff>
    </xdr:from>
    <xdr:to>
      <xdr:col>3</xdr:col>
      <xdr:colOff>106680</xdr:colOff>
      <xdr:row>5</xdr:row>
      <xdr:rowOff>45720</xdr:rowOff>
    </xdr:to>
    <xdr:sp macro="" textlink="">
      <xdr:nvSpPr>
        <xdr:cNvPr id="3" name="Rectangle: Rounded Corners 2">
          <a:extLst>
            <a:ext uri="{FF2B5EF4-FFF2-40B4-BE49-F238E27FC236}">
              <a16:creationId xmlns:a16="http://schemas.microsoft.com/office/drawing/2014/main" id="{04D99CCE-4C55-A01F-E7AB-2050567E7F35}"/>
            </a:ext>
          </a:extLst>
        </xdr:cNvPr>
        <xdr:cNvSpPr/>
      </xdr:nvSpPr>
      <xdr:spPr>
        <a:xfrm>
          <a:off x="30480" y="30480"/>
          <a:ext cx="1905000" cy="929640"/>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ctr"/>
          <a:r>
            <a:rPr lang="en-IN" sz="2400">
              <a:solidFill>
                <a:schemeClr val="tx1"/>
              </a:solidFill>
            </a:rPr>
            <a:t>Sales </a:t>
          </a:r>
        </a:p>
        <a:p>
          <a:pPr algn="ctr"/>
          <a:r>
            <a:rPr lang="en-IN" sz="2400">
              <a:solidFill>
                <a:schemeClr val="tx1"/>
              </a:solidFill>
            </a:rPr>
            <a:t>Dashboard</a:t>
          </a:r>
        </a:p>
      </xdr:txBody>
    </xdr:sp>
    <xdr:clientData/>
  </xdr:twoCellAnchor>
  <xdr:twoCellAnchor>
    <xdr:from>
      <xdr:col>0</xdr:col>
      <xdr:colOff>53340</xdr:colOff>
      <xdr:row>5</xdr:row>
      <xdr:rowOff>121920</xdr:rowOff>
    </xdr:from>
    <xdr:to>
      <xdr:col>3</xdr:col>
      <xdr:colOff>152400</xdr:colOff>
      <xdr:row>10</xdr:row>
      <xdr:rowOff>7620</xdr:rowOff>
    </xdr:to>
    <xdr:sp macro="" textlink="">
      <xdr:nvSpPr>
        <xdr:cNvPr id="4" name="Rectangle: Rounded Corners 3">
          <a:extLst>
            <a:ext uri="{FF2B5EF4-FFF2-40B4-BE49-F238E27FC236}">
              <a16:creationId xmlns:a16="http://schemas.microsoft.com/office/drawing/2014/main" id="{E156AF04-375A-9233-3C03-0839271D603E}"/>
            </a:ext>
          </a:extLst>
        </xdr:cNvPr>
        <xdr:cNvSpPr/>
      </xdr:nvSpPr>
      <xdr:spPr>
        <a:xfrm>
          <a:off x="53340" y="1036320"/>
          <a:ext cx="1927860" cy="8001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164440</xdr:colOff>
      <xdr:row>6</xdr:row>
      <xdr:rowOff>12019</xdr:rowOff>
    </xdr:from>
    <xdr:to>
      <xdr:col>3</xdr:col>
      <xdr:colOff>82430</xdr:colOff>
      <xdr:row>7</xdr:row>
      <xdr:rowOff>117835</xdr:rowOff>
    </xdr:to>
    <xdr:sp macro="" textlink="">
      <xdr:nvSpPr>
        <xdr:cNvPr id="5" name="Rectangle 4">
          <a:extLst>
            <a:ext uri="{FF2B5EF4-FFF2-40B4-BE49-F238E27FC236}">
              <a16:creationId xmlns:a16="http://schemas.microsoft.com/office/drawing/2014/main" id="{663E37EB-7F5D-BAD2-6A37-B4EA4530E516}"/>
            </a:ext>
          </a:extLst>
        </xdr:cNvPr>
        <xdr:cNvSpPr/>
      </xdr:nvSpPr>
      <xdr:spPr>
        <a:xfrm>
          <a:off x="164440" y="1109299"/>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Total Price</a:t>
          </a:r>
        </a:p>
      </xdr:txBody>
    </xdr:sp>
    <xdr:clientData/>
  </xdr:twoCellAnchor>
  <xdr:twoCellAnchor>
    <xdr:from>
      <xdr:col>0</xdr:col>
      <xdr:colOff>175092</xdr:colOff>
      <xdr:row>7</xdr:row>
      <xdr:rowOff>159077</xdr:rowOff>
    </xdr:from>
    <xdr:to>
      <xdr:col>3</xdr:col>
      <xdr:colOff>82431</xdr:colOff>
      <xdr:row>9</xdr:row>
      <xdr:rowOff>106758</xdr:rowOff>
    </xdr:to>
    <xdr:sp macro="" textlink="kpis!$B$17">
      <xdr:nvSpPr>
        <xdr:cNvPr id="6" name="Rectangle 5">
          <a:extLst>
            <a:ext uri="{FF2B5EF4-FFF2-40B4-BE49-F238E27FC236}">
              <a16:creationId xmlns:a16="http://schemas.microsoft.com/office/drawing/2014/main" id="{97A39466-09E1-0DB9-2E26-6F6F8CAD92C5}"/>
            </a:ext>
          </a:extLst>
        </xdr:cNvPr>
        <xdr:cNvSpPr/>
      </xdr:nvSpPr>
      <xdr:spPr>
        <a:xfrm>
          <a:off x="175092" y="1439237"/>
          <a:ext cx="1736139" cy="31344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EF34B85B-42F7-448A-AFE4-0AD1BCE2FA59}" type="TxLink">
            <a:rPr lang="en-US" sz="1200" b="1" i="0" u="none" strike="noStrike">
              <a:solidFill>
                <a:srgbClr val="000000"/>
              </a:solidFill>
              <a:latin typeface="Calibri"/>
              <a:ea typeface="Calibri"/>
              <a:cs typeface="Calibri"/>
            </a:rPr>
            <a:pPr algn="ctr"/>
            <a:t> ₹ 43,79,992.43 </a:t>
          </a:fld>
          <a:endParaRPr lang="en-IN" sz="1200" b="1"/>
        </a:p>
      </xdr:txBody>
    </xdr:sp>
    <xdr:clientData/>
  </xdr:twoCellAnchor>
  <xdr:twoCellAnchor>
    <xdr:from>
      <xdr:col>0</xdr:col>
      <xdr:colOff>76200</xdr:colOff>
      <xdr:row>10</xdr:row>
      <xdr:rowOff>83820</xdr:rowOff>
    </xdr:from>
    <xdr:to>
      <xdr:col>3</xdr:col>
      <xdr:colOff>121920</xdr:colOff>
      <xdr:row>14</xdr:row>
      <xdr:rowOff>175260</xdr:rowOff>
    </xdr:to>
    <xdr:sp macro="" textlink="">
      <xdr:nvSpPr>
        <xdr:cNvPr id="13" name="Rectangle: Rounded Corners 12">
          <a:extLst>
            <a:ext uri="{FF2B5EF4-FFF2-40B4-BE49-F238E27FC236}">
              <a16:creationId xmlns:a16="http://schemas.microsoft.com/office/drawing/2014/main" id="{978CD90F-C5C3-4D2F-91FF-43B1C490544B}"/>
            </a:ext>
          </a:extLst>
        </xdr:cNvPr>
        <xdr:cNvSpPr/>
      </xdr:nvSpPr>
      <xdr:spPr>
        <a:xfrm>
          <a:off x="76200" y="1912620"/>
          <a:ext cx="1874520" cy="82296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xdr:colOff>
      <xdr:row>20</xdr:row>
      <xdr:rowOff>15240</xdr:rowOff>
    </xdr:from>
    <xdr:to>
      <xdr:col>3</xdr:col>
      <xdr:colOff>106680</xdr:colOff>
      <xdr:row>24</xdr:row>
      <xdr:rowOff>106680</xdr:rowOff>
    </xdr:to>
    <xdr:sp macro="" textlink="">
      <xdr:nvSpPr>
        <xdr:cNvPr id="14" name="Rectangle: Rounded Corners 13">
          <a:extLst>
            <a:ext uri="{FF2B5EF4-FFF2-40B4-BE49-F238E27FC236}">
              <a16:creationId xmlns:a16="http://schemas.microsoft.com/office/drawing/2014/main" id="{570F42DD-B38B-4203-B88C-8F0AA2DC093E}"/>
            </a:ext>
          </a:extLst>
        </xdr:cNvPr>
        <xdr:cNvSpPr/>
      </xdr:nvSpPr>
      <xdr:spPr>
        <a:xfrm>
          <a:off x="60960" y="3672840"/>
          <a:ext cx="1874520" cy="82296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15</xdr:row>
      <xdr:rowOff>53340</xdr:rowOff>
    </xdr:from>
    <xdr:to>
      <xdr:col>3</xdr:col>
      <xdr:colOff>129540</xdr:colOff>
      <xdr:row>19</xdr:row>
      <xdr:rowOff>144780</xdr:rowOff>
    </xdr:to>
    <xdr:sp macro="" textlink="">
      <xdr:nvSpPr>
        <xdr:cNvPr id="15" name="Rectangle: Rounded Corners 14">
          <a:extLst>
            <a:ext uri="{FF2B5EF4-FFF2-40B4-BE49-F238E27FC236}">
              <a16:creationId xmlns:a16="http://schemas.microsoft.com/office/drawing/2014/main" id="{B3BA13BD-3084-479D-BAA4-922D77D144D1}"/>
            </a:ext>
          </a:extLst>
        </xdr:cNvPr>
        <xdr:cNvSpPr/>
      </xdr:nvSpPr>
      <xdr:spPr>
        <a:xfrm>
          <a:off x="83820" y="2796540"/>
          <a:ext cx="1874520" cy="82296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10</xdr:row>
      <xdr:rowOff>137160</xdr:rowOff>
    </xdr:from>
    <xdr:to>
      <xdr:col>3</xdr:col>
      <xdr:colOff>70390</xdr:colOff>
      <xdr:row>12</xdr:row>
      <xdr:rowOff>60096</xdr:rowOff>
    </xdr:to>
    <xdr:sp macro="" textlink="">
      <xdr:nvSpPr>
        <xdr:cNvPr id="20" name="Rectangle 19">
          <a:extLst>
            <a:ext uri="{FF2B5EF4-FFF2-40B4-BE49-F238E27FC236}">
              <a16:creationId xmlns:a16="http://schemas.microsoft.com/office/drawing/2014/main" id="{5AB924DB-CD2E-4658-97F8-75B3FD3D0ABE}"/>
            </a:ext>
          </a:extLst>
        </xdr:cNvPr>
        <xdr:cNvSpPr/>
      </xdr:nvSpPr>
      <xdr:spPr>
        <a:xfrm>
          <a:off x="152400" y="196596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Total Quantity</a:t>
          </a:r>
        </a:p>
      </xdr:txBody>
    </xdr:sp>
    <xdr:clientData/>
  </xdr:twoCellAnchor>
  <xdr:twoCellAnchor>
    <xdr:from>
      <xdr:col>0</xdr:col>
      <xdr:colOff>137160</xdr:colOff>
      <xdr:row>12</xdr:row>
      <xdr:rowOff>121920</xdr:rowOff>
    </xdr:from>
    <xdr:to>
      <xdr:col>3</xdr:col>
      <xdr:colOff>55150</xdr:colOff>
      <xdr:row>14</xdr:row>
      <xdr:rowOff>44856</xdr:rowOff>
    </xdr:to>
    <xdr:sp macro="" textlink="kpis!$E$17">
      <xdr:nvSpPr>
        <xdr:cNvPr id="21" name="Rectangle 20">
          <a:extLst>
            <a:ext uri="{FF2B5EF4-FFF2-40B4-BE49-F238E27FC236}">
              <a16:creationId xmlns:a16="http://schemas.microsoft.com/office/drawing/2014/main" id="{B48A7644-C857-4645-920A-CDA6DC28A511}"/>
            </a:ext>
          </a:extLst>
        </xdr:cNvPr>
        <xdr:cNvSpPr/>
      </xdr:nvSpPr>
      <xdr:spPr>
        <a:xfrm>
          <a:off x="137160" y="231648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407E6D04-5283-4331-8765-B0B56513B505}" type="TxLink">
            <a:rPr lang="en-US" sz="1200" b="1" i="0" u="none" strike="noStrike">
              <a:solidFill>
                <a:srgbClr val="000000"/>
              </a:solidFill>
              <a:latin typeface="Calibri"/>
              <a:ea typeface="Calibri"/>
              <a:cs typeface="Calibri"/>
            </a:rPr>
            <a:pPr algn="ctr"/>
            <a:t>15,616</a:t>
          </a:fld>
          <a:endParaRPr lang="en-IN" sz="1200" b="1"/>
        </a:p>
      </xdr:txBody>
    </xdr:sp>
    <xdr:clientData/>
  </xdr:twoCellAnchor>
  <xdr:twoCellAnchor>
    <xdr:from>
      <xdr:col>0</xdr:col>
      <xdr:colOff>121920</xdr:colOff>
      <xdr:row>22</xdr:row>
      <xdr:rowOff>68580</xdr:rowOff>
    </xdr:from>
    <xdr:to>
      <xdr:col>3</xdr:col>
      <xdr:colOff>39910</xdr:colOff>
      <xdr:row>23</xdr:row>
      <xdr:rowOff>174396</xdr:rowOff>
    </xdr:to>
    <xdr:sp macro="" textlink="kpis!$K$17">
      <xdr:nvSpPr>
        <xdr:cNvPr id="22" name="Rectangle 21">
          <a:extLst>
            <a:ext uri="{FF2B5EF4-FFF2-40B4-BE49-F238E27FC236}">
              <a16:creationId xmlns:a16="http://schemas.microsoft.com/office/drawing/2014/main" id="{DDE4D52A-32C4-4345-BECF-C5642FEE6892}"/>
            </a:ext>
          </a:extLst>
        </xdr:cNvPr>
        <xdr:cNvSpPr/>
      </xdr:nvSpPr>
      <xdr:spPr>
        <a:xfrm>
          <a:off x="121920" y="409194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483DB7BF-247A-4753-BA80-92A9467E0119}" type="TxLink">
            <a:rPr lang="en-US" sz="1200" b="1" i="0" u="none" strike="noStrike">
              <a:solidFill>
                <a:srgbClr val="000000"/>
              </a:solidFill>
              <a:latin typeface="Calibri"/>
              <a:ea typeface="Calibri"/>
              <a:cs typeface="Calibri"/>
            </a:rPr>
            <a:pPr algn="ctr"/>
            <a:t>372</a:t>
          </a:fld>
          <a:endParaRPr lang="en-IN" sz="1200" b="1"/>
        </a:p>
      </xdr:txBody>
    </xdr:sp>
    <xdr:clientData/>
  </xdr:twoCellAnchor>
  <xdr:twoCellAnchor>
    <xdr:from>
      <xdr:col>0</xdr:col>
      <xdr:colOff>114300</xdr:colOff>
      <xdr:row>20</xdr:row>
      <xdr:rowOff>99060</xdr:rowOff>
    </xdr:from>
    <xdr:to>
      <xdr:col>3</xdr:col>
      <xdr:colOff>32290</xdr:colOff>
      <xdr:row>22</xdr:row>
      <xdr:rowOff>21996</xdr:rowOff>
    </xdr:to>
    <xdr:sp macro="" textlink="">
      <xdr:nvSpPr>
        <xdr:cNvPr id="23" name="Rectangle 22">
          <a:extLst>
            <a:ext uri="{FF2B5EF4-FFF2-40B4-BE49-F238E27FC236}">
              <a16:creationId xmlns:a16="http://schemas.microsoft.com/office/drawing/2014/main" id="{F2829C79-A4DC-4D23-946A-B04190FBAADB}"/>
            </a:ext>
          </a:extLst>
        </xdr:cNvPr>
        <xdr:cNvSpPr/>
      </xdr:nvSpPr>
      <xdr:spPr>
        <a:xfrm>
          <a:off x="114300" y="375666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Total Returns</a:t>
          </a:r>
        </a:p>
      </xdr:txBody>
    </xdr:sp>
    <xdr:clientData/>
  </xdr:twoCellAnchor>
  <xdr:twoCellAnchor>
    <xdr:from>
      <xdr:col>0</xdr:col>
      <xdr:colOff>144780</xdr:colOff>
      <xdr:row>17</xdr:row>
      <xdr:rowOff>129540</xdr:rowOff>
    </xdr:from>
    <xdr:to>
      <xdr:col>3</xdr:col>
      <xdr:colOff>62770</xdr:colOff>
      <xdr:row>19</xdr:row>
      <xdr:rowOff>52476</xdr:rowOff>
    </xdr:to>
    <xdr:sp macro="" textlink="kpis!$H$17">
      <xdr:nvSpPr>
        <xdr:cNvPr id="24" name="Rectangle 23">
          <a:extLst>
            <a:ext uri="{FF2B5EF4-FFF2-40B4-BE49-F238E27FC236}">
              <a16:creationId xmlns:a16="http://schemas.microsoft.com/office/drawing/2014/main" id="{634AE259-ACCD-4CB5-9B3E-0877642471FA}"/>
            </a:ext>
          </a:extLst>
        </xdr:cNvPr>
        <xdr:cNvSpPr/>
      </xdr:nvSpPr>
      <xdr:spPr>
        <a:xfrm>
          <a:off x="144780" y="323850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1D17625A-7899-4FC0-BB67-14CD8145CA50}" type="TxLink">
            <a:rPr lang="en-US" sz="1200" b="1" i="0" u="none" strike="noStrike">
              <a:solidFill>
                <a:srgbClr val="000000"/>
              </a:solidFill>
              <a:latin typeface="Calibri"/>
              <a:ea typeface="Calibri"/>
              <a:cs typeface="Calibri"/>
            </a:rPr>
            <a:pPr algn="ctr"/>
            <a:t>1500</a:t>
          </a:fld>
          <a:endParaRPr lang="en-IN" sz="1200" b="1"/>
        </a:p>
      </xdr:txBody>
    </xdr:sp>
    <xdr:clientData/>
  </xdr:twoCellAnchor>
  <xdr:twoCellAnchor>
    <xdr:from>
      <xdr:col>0</xdr:col>
      <xdr:colOff>144780</xdr:colOff>
      <xdr:row>15</xdr:row>
      <xdr:rowOff>137160</xdr:rowOff>
    </xdr:from>
    <xdr:to>
      <xdr:col>3</xdr:col>
      <xdr:colOff>62770</xdr:colOff>
      <xdr:row>17</xdr:row>
      <xdr:rowOff>60096</xdr:rowOff>
    </xdr:to>
    <xdr:sp macro="" textlink="">
      <xdr:nvSpPr>
        <xdr:cNvPr id="25" name="Rectangle 24">
          <a:extLst>
            <a:ext uri="{FF2B5EF4-FFF2-40B4-BE49-F238E27FC236}">
              <a16:creationId xmlns:a16="http://schemas.microsoft.com/office/drawing/2014/main" id="{90047D94-47C0-4E24-897B-0177D28D313B}"/>
            </a:ext>
          </a:extLst>
        </xdr:cNvPr>
        <xdr:cNvSpPr/>
      </xdr:nvSpPr>
      <xdr:spPr>
        <a:xfrm>
          <a:off x="144780" y="2880360"/>
          <a:ext cx="1746790" cy="2886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Total Order</a:t>
          </a:r>
        </a:p>
      </xdr:txBody>
    </xdr:sp>
    <xdr:clientData/>
  </xdr:twoCellAnchor>
  <xdr:twoCellAnchor>
    <xdr:from>
      <xdr:col>3</xdr:col>
      <xdr:colOff>205740</xdr:colOff>
      <xdr:row>0</xdr:row>
      <xdr:rowOff>7620</xdr:rowOff>
    </xdr:from>
    <xdr:to>
      <xdr:col>23</xdr:col>
      <xdr:colOff>182880</xdr:colOff>
      <xdr:row>9</xdr:row>
      <xdr:rowOff>30480</xdr:rowOff>
    </xdr:to>
    <xdr:grpSp>
      <xdr:nvGrpSpPr>
        <xdr:cNvPr id="85" name="Group 84">
          <a:extLst>
            <a:ext uri="{FF2B5EF4-FFF2-40B4-BE49-F238E27FC236}">
              <a16:creationId xmlns:a16="http://schemas.microsoft.com/office/drawing/2014/main" id="{EA106E53-18E9-148E-3866-DC4483CADCF3}"/>
            </a:ext>
          </a:extLst>
        </xdr:cNvPr>
        <xdr:cNvGrpSpPr/>
      </xdr:nvGrpSpPr>
      <xdr:grpSpPr>
        <a:xfrm>
          <a:off x="2034540" y="7620"/>
          <a:ext cx="12176760" cy="1668780"/>
          <a:chOff x="2034540" y="7620"/>
          <a:chExt cx="12169140" cy="1668780"/>
        </a:xfrm>
      </xdr:grpSpPr>
      <xdr:grpSp>
        <xdr:nvGrpSpPr>
          <xdr:cNvPr id="34" name="Group 33">
            <a:extLst>
              <a:ext uri="{FF2B5EF4-FFF2-40B4-BE49-F238E27FC236}">
                <a16:creationId xmlns:a16="http://schemas.microsoft.com/office/drawing/2014/main" id="{52EFF2E2-217F-B1BA-1B55-AA37816130C2}"/>
              </a:ext>
            </a:extLst>
          </xdr:cNvPr>
          <xdr:cNvGrpSpPr/>
        </xdr:nvGrpSpPr>
        <xdr:grpSpPr>
          <a:xfrm>
            <a:off x="2034540" y="15240"/>
            <a:ext cx="3352800" cy="1661160"/>
            <a:chOff x="2072640" y="60960"/>
            <a:chExt cx="3444240" cy="1730368"/>
          </a:xfrm>
        </xdr:grpSpPr>
        <xdr:sp macro="" textlink="">
          <xdr:nvSpPr>
            <xdr:cNvPr id="31" name="Rectangle 30">
              <a:extLst>
                <a:ext uri="{FF2B5EF4-FFF2-40B4-BE49-F238E27FC236}">
                  <a16:creationId xmlns:a16="http://schemas.microsoft.com/office/drawing/2014/main" id="{0B05FDFF-85A4-4166-CE77-9CD56EFADAB2}"/>
                </a:ext>
              </a:extLst>
            </xdr:cNvPr>
            <xdr:cNvSpPr/>
          </xdr:nvSpPr>
          <xdr:spPr>
            <a:xfrm>
              <a:off x="2072640" y="60960"/>
              <a:ext cx="3444240" cy="1730368"/>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32" name="Rectangle 31">
              <a:extLst>
                <a:ext uri="{FF2B5EF4-FFF2-40B4-BE49-F238E27FC236}">
                  <a16:creationId xmlns:a16="http://schemas.microsoft.com/office/drawing/2014/main" id="{DF4AB151-F529-4B20-BBDE-B5CA701B6AA0}"/>
                </a:ext>
              </a:extLst>
            </xdr:cNvPr>
            <xdr:cNvSpPr/>
          </xdr:nvSpPr>
          <xdr:spPr>
            <a:xfrm>
              <a:off x="2115160" y="729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Sales</a:t>
              </a:r>
              <a:r>
                <a:rPr lang="en-IN" sz="1400" b="1" baseline="0"/>
                <a:t> Over Time</a:t>
              </a:r>
              <a:endParaRPr lang="en-IN" sz="1400" b="1"/>
            </a:p>
          </xdr:txBody>
        </xdr:sp>
        <xdr:graphicFrame macro="">
          <xdr:nvGraphicFramePr>
            <xdr:cNvPr id="33" name="Chart 32">
              <a:extLst>
                <a:ext uri="{FF2B5EF4-FFF2-40B4-BE49-F238E27FC236}">
                  <a16:creationId xmlns:a16="http://schemas.microsoft.com/office/drawing/2014/main" id="{F783023D-10BF-49A2-9A53-F1F00B3D5F7C}"/>
                </a:ext>
              </a:extLst>
            </xdr:cNvPr>
            <xdr:cNvGraphicFramePr>
              <a:graphicFrameLocks/>
            </xdr:cNvGraphicFramePr>
          </xdr:nvGraphicFramePr>
          <xdr:xfrm>
            <a:off x="2095500" y="365760"/>
            <a:ext cx="3379462" cy="1318260"/>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45" name="Group 44">
            <a:extLst>
              <a:ext uri="{FF2B5EF4-FFF2-40B4-BE49-F238E27FC236}">
                <a16:creationId xmlns:a16="http://schemas.microsoft.com/office/drawing/2014/main" id="{3D92E51A-96C9-5F19-B152-3DCA06CACE6E}"/>
              </a:ext>
            </a:extLst>
          </xdr:cNvPr>
          <xdr:cNvGrpSpPr/>
        </xdr:nvGrpSpPr>
        <xdr:grpSpPr>
          <a:xfrm>
            <a:off x="5425440" y="7620"/>
            <a:ext cx="3802380" cy="1653540"/>
            <a:chOff x="2019300" y="1744980"/>
            <a:chExt cx="2903220" cy="1531620"/>
          </a:xfrm>
        </xdr:grpSpPr>
        <xdr:grpSp>
          <xdr:nvGrpSpPr>
            <xdr:cNvPr id="41" name="Group 40">
              <a:extLst>
                <a:ext uri="{FF2B5EF4-FFF2-40B4-BE49-F238E27FC236}">
                  <a16:creationId xmlns:a16="http://schemas.microsoft.com/office/drawing/2014/main" id="{F8AF544D-24BD-59A9-1AFC-0B04A18220F2}"/>
                </a:ext>
              </a:extLst>
            </xdr:cNvPr>
            <xdr:cNvGrpSpPr/>
          </xdr:nvGrpSpPr>
          <xdr:grpSpPr>
            <a:xfrm>
              <a:off x="2019300" y="1744980"/>
              <a:ext cx="2903220" cy="1531620"/>
              <a:chOff x="-1767840" y="1783080"/>
              <a:chExt cx="3444240" cy="1684020"/>
            </a:xfrm>
          </xdr:grpSpPr>
          <xdr:sp macro="" textlink="">
            <xdr:nvSpPr>
              <xdr:cNvPr id="42" name="Rectangle 41">
                <a:extLst>
                  <a:ext uri="{FF2B5EF4-FFF2-40B4-BE49-F238E27FC236}">
                    <a16:creationId xmlns:a16="http://schemas.microsoft.com/office/drawing/2014/main" id="{4C870466-B714-B114-03B1-8F2D10F018D2}"/>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43" name="Rectangle 42">
                <a:extLst>
                  <a:ext uri="{FF2B5EF4-FFF2-40B4-BE49-F238E27FC236}">
                    <a16:creationId xmlns:a16="http://schemas.microsoft.com/office/drawing/2014/main" id="{B27A5161-35D2-E38C-640A-AADA12B86733}"/>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Product Performance</a:t>
                </a:r>
              </a:p>
            </xdr:txBody>
          </xdr:sp>
        </xdr:grpSp>
        <xdr:graphicFrame macro="">
          <xdr:nvGraphicFramePr>
            <xdr:cNvPr id="44" name="Chart 43">
              <a:extLst>
                <a:ext uri="{FF2B5EF4-FFF2-40B4-BE49-F238E27FC236}">
                  <a16:creationId xmlns:a16="http://schemas.microsoft.com/office/drawing/2014/main" id="{F090DC6E-27EE-3134-7069-57D399BC73C2}"/>
                </a:ext>
              </a:extLst>
            </xdr:cNvPr>
            <xdr:cNvGraphicFramePr>
              <a:graphicFrameLocks/>
            </xdr:cNvGraphicFramePr>
          </xdr:nvGraphicFramePr>
          <xdr:xfrm>
            <a:off x="2042160" y="2026920"/>
            <a:ext cx="2842260" cy="118872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53" name="Group 52">
            <a:extLst>
              <a:ext uri="{FF2B5EF4-FFF2-40B4-BE49-F238E27FC236}">
                <a16:creationId xmlns:a16="http://schemas.microsoft.com/office/drawing/2014/main" id="{3BFA00FA-8F52-E0E5-99B6-DF4B6432BA0F}"/>
              </a:ext>
            </a:extLst>
          </xdr:cNvPr>
          <xdr:cNvGrpSpPr/>
        </xdr:nvGrpSpPr>
        <xdr:grpSpPr>
          <a:xfrm>
            <a:off x="9273540" y="15241"/>
            <a:ext cx="2667000" cy="1638300"/>
            <a:chOff x="2019300" y="1767841"/>
            <a:chExt cx="2590800" cy="1531620"/>
          </a:xfrm>
        </xdr:grpSpPr>
        <xdr:grpSp>
          <xdr:nvGrpSpPr>
            <xdr:cNvPr id="35" name="Group 34">
              <a:extLst>
                <a:ext uri="{FF2B5EF4-FFF2-40B4-BE49-F238E27FC236}">
                  <a16:creationId xmlns:a16="http://schemas.microsoft.com/office/drawing/2014/main" id="{75A82621-F00F-4405-9873-77AEE7BE9134}"/>
                </a:ext>
              </a:extLst>
            </xdr:cNvPr>
            <xdr:cNvGrpSpPr/>
          </xdr:nvGrpSpPr>
          <xdr:grpSpPr>
            <a:xfrm>
              <a:off x="2019300" y="1767841"/>
              <a:ext cx="2590800" cy="1531620"/>
              <a:chOff x="-1767840" y="1783081"/>
              <a:chExt cx="3444240" cy="1684020"/>
            </a:xfrm>
          </xdr:grpSpPr>
          <xdr:sp macro="" textlink="">
            <xdr:nvSpPr>
              <xdr:cNvPr id="36" name="Rectangle 35">
                <a:extLst>
                  <a:ext uri="{FF2B5EF4-FFF2-40B4-BE49-F238E27FC236}">
                    <a16:creationId xmlns:a16="http://schemas.microsoft.com/office/drawing/2014/main" id="{066720A2-8B83-76B7-00C5-DC6D0F3FFC2A}"/>
                  </a:ext>
                </a:extLst>
              </xdr:cNvPr>
              <xdr:cNvSpPr/>
            </xdr:nvSpPr>
            <xdr:spPr>
              <a:xfrm>
                <a:off x="-1767840" y="1783081"/>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37" name="Rectangle 36">
                <a:extLst>
                  <a:ext uri="{FF2B5EF4-FFF2-40B4-BE49-F238E27FC236}">
                    <a16:creationId xmlns:a16="http://schemas.microsoft.com/office/drawing/2014/main" id="{A87F628B-6437-3160-A8EB-7426E8E881A6}"/>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Salesperson</a:t>
                </a:r>
                <a:r>
                  <a:rPr lang="en-IN" sz="1400" b="1" baseline="0"/>
                  <a:t> Leaderboard</a:t>
                </a:r>
                <a:endParaRPr lang="en-IN" sz="1400" b="1"/>
              </a:p>
            </xdr:txBody>
          </xdr:sp>
        </xdr:grpSp>
        <xdr:graphicFrame macro="">
          <xdr:nvGraphicFramePr>
            <xdr:cNvPr id="46" name="Chart 45">
              <a:extLst>
                <a:ext uri="{FF2B5EF4-FFF2-40B4-BE49-F238E27FC236}">
                  <a16:creationId xmlns:a16="http://schemas.microsoft.com/office/drawing/2014/main" id="{2B229179-8C6E-4038-8F9F-CEBA78A01B53}"/>
                </a:ext>
              </a:extLst>
            </xdr:cNvPr>
            <xdr:cNvGraphicFramePr>
              <a:graphicFrameLocks/>
            </xdr:cNvGraphicFramePr>
          </xdr:nvGraphicFramePr>
          <xdr:xfrm>
            <a:off x="2057400" y="2042160"/>
            <a:ext cx="2506980" cy="1219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56" name="Group 55">
            <a:extLst>
              <a:ext uri="{FF2B5EF4-FFF2-40B4-BE49-F238E27FC236}">
                <a16:creationId xmlns:a16="http://schemas.microsoft.com/office/drawing/2014/main" id="{30A201CD-B8A7-FB6D-AB7B-46357CC8BB98}"/>
              </a:ext>
            </a:extLst>
          </xdr:cNvPr>
          <xdr:cNvGrpSpPr/>
        </xdr:nvGrpSpPr>
        <xdr:grpSpPr>
          <a:xfrm>
            <a:off x="11955780" y="30480"/>
            <a:ext cx="2247900" cy="1638300"/>
            <a:chOff x="6614160" y="2141220"/>
            <a:chExt cx="2545080" cy="1531620"/>
          </a:xfrm>
        </xdr:grpSpPr>
        <xdr:grpSp>
          <xdr:nvGrpSpPr>
            <xdr:cNvPr id="49" name="Group 48">
              <a:extLst>
                <a:ext uri="{FF2B5EF4-FFF2-40B4-BE49-F238E27FC236}">
                  <a16:creationId xmlns:a16="http://schemas.microsoft.com/office/drawing/2014/main" id="{908C2949-AD1A-60EC-E6B3-50DEED093FBB}"/>
                </a:ext>
              </a:extLst>
            </xdr:cNvPr>
            <xdr:cNvGrpSpPr/>
          </xdr:nvGrpSpPr>
          <xdr:grpSpPr>
            <a:xfrm>
              <a:off x="6614160" y="2141220"/>
              <a:ext cx="2545080" cy="1531620"/>
              <a:chOff x="-1767840" y="1783080"/>
              <a:chExt cx="3444240" cy="1684020"/>
            </a:xfrm>
          </xdr:grpSpPr>
          <xdr:sp macro="" textlink="">
            <xdr:nvSpPr>
              <xdr:cNvPr id="51" name="Rectangle 50">
                <a:extLst>
                  <a:ext uri="{FF2B5EF4-FFF2-40B4-BE49-F238E27FC236}">
                    <a16:creationId xmlns:a16="http://schemas.microsoft.com/office/drawing/2014/main" id="{32B13D61-E036-21E6-D493-78462B5C889E}"/>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52" name="Rectangle 51">
                <a:extLst>
                  <a:ext uri="{FF2B5EF4-FFF2-40B4-BE49-F238E27FC236}">
                    <a16:creationId xmlns:a16="http://schemas.microsoft.com/office/drawing/2014/main" id="{C10794E3-2E1B-61B1-495E-A6B2BC874FB7}"/>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Discount</a:t>
                </a:r>
                <a:r>
                  <a:rPr lang="en-IN" sz="1400" b="1" baseline="0"/>
                  <a:t> Vs Sales</a:t>
                </a:r>
                <a:endParaRPr lang="en-IN" sz="1400" b="1"/>
              </a:p>
            </xdr:txBody>
          </xdr:sp>
        </xdr:grpSp>
        <xdr:graphicFrame macro="">
          <xdr:nvGraphicFramePr>
            <xdr:cNvPr id="54" name="Chart 53">
              <a:extLst>
                <a:ext uri="{FF2B5EF4-FFF2-40B4-BE49-F238E27FC236}">
                  <a16:creationId xmlns:a16="http://schemas.microsoft.com/office/drawing/2014/main" id="{E577A27F-A630-49C6-837A-134C1587D406}"/>
                </a:ext>
              </a:extLst>
            </xdr:cNvPr>
            <xdr:cNvGraphicFramePr>
              <a:graphicFrameLocks/>
            </xdr:cNvGraphicFramePr>
          </xdr:nvGraphicFramePr>
          <xdr:xfrm>
            <a:off x="6635431" y="2430780"/>
            <a:ext cx="2474474" cy="1203960"/>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xdr:from>
      <xdr:col>10</xdr:col>
      <xdr:colOff>434340</xdr:colOff>
      <xdr:row>17</xdr:row>
      <xdr:rowOff>175260</xdr:rowOff>
    </xdr:from>
    <xdr:to>
      <xdr:col>14</xdr:col>
      <xdr:colOff>198120</xdr:colOff>
      <xdr:row>25</xdr:row>
      <xdr:rowOff>137160</xdr:rowOff>
    </xdr:to>
    <xdr:grpSp>
      <xdr:nvGrpSpPr>
        <xdr:cNvPr id="62" name="Group 61">
          <a:extLst>
            <a:ext uri="{FF2B5EF4-FFF2-40B4-BE49-F238E27FC236}">
              <a16:creationId xmlns:a16="http://schemas.microsoft.com/office/drawing/2014/main" id="{6E3EAF2D-1118-480E-A76E-D19F031BAC19}"/>
            </a:ext>
          </a:extLst>
        </xdr:cNvPr>
        <xdr:cNvGrpSpPr/>
      </xdr:nvGrpSpPr>
      <xdr:grpSpPr>
        <a:xfrm>
          <a:off x="6530340" y="3284220"/>
          <a:ext cx="2209800" cy="1424940"/>
          <a:chOff x="-1767840" y="1783080"/>
          <a:chExt cx="3444240" cy="1684020"/>
        </a:xfrm>
      </xdr:grpSpPr>
      <xdr:sp macro="" textlink="">
        <xdr:nvSpPr>
          <xdr:cNvPr id="63" name="Rectangle 62">
            <a:extLst>
              <a:ext uri="{FF2B5EF4-FFF2-40B4-BE49-F238E27FC236}">
                <a16:creationId xmlns:a16="http://schemas.microsoft.com/office/drawing/2014/main" id="{AD5EDD65-3522-8C3E-A164-5AB92A8F91A1}"/>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64" name="Rectangle 63">
            <a:extLst>
              <a:ext uri="{FF2B5EF4-FFF2-40B4-BE49-F238E27FC236}">
                <a16:creationId xmlns:a16="http://schemas.microsoft.com/office/drawing/2014/main" id="{162A3526-D821-5236-8865-D06DF153455B}"/>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Payment</a:t>
            </a:r>
            <a:r>
              <a:rPr lang="en-IN" sz="1400" b="1" baseline="0"/>
              <a:t> Method</a:t>
            </a:r>
            <a:endParaRPr lang="en-IN" sz="1400" b="1"/>
          </a:p>
        </xdr:txBody>
      </xdr:sp>
    </xdr:grpSp>
    <xdr:clientData/>
  </xdr:twoCellAnchor>
  <xdr:twoCellAnchor>
    <xdr:from>
      <xdr:col>3</xdr:col>
      <xdr:colOff>213360</xdr:colOff>
      <xdr:row>17</xdr:row>
      <xdr:rowOff>160020</xdr:rowOff>
    </xdr:from>
    <xdr:to>
      <xdr:col>6</xdr:col>
      <xdr:colOff>586740</xdr:colOff>
      <xdr:row>25</xdr:row>
      <xdr:rowOff>144780</xdr:rowOff>
    </xdr:to>
    <xdr:grpSp>
      <xdr:nvGrpSpPr>
        <xdr:cNvPr id="68" name="Group 67">
          <a:extLst>
            <a:ext uri="{FF2B5EF4-FFF2-40B4-BE49-F238E27FC236}">
              <a16:creationId xmlns:a16="http://schemas.microsoft.com/office/drawing/2014/main" id="{05BE16B8-BEF2-42CB-AE5A-56625A6BA1B1}"/>
            </a:ext>
          </a:extLst>
        </xdr:cNvPr>
        <xdr:cNvGrpSpPr/>
      </xdr:nvGrpSpPr>
      <xdr:grpSpPr>
        <a:xfrm>
          <a:off x="2042160" y="3268980"/>
          <a:ext cx="2202180" cy="1447800"/>
          <a:chOff x="-1767839" y="1783080"/>
          <a:chExt cx="3444240" cy="1684020"/>
        </a:xfrm>
      </xdr:grpSpPr>
      <xdr:sp macro="" textlink="">
        <xdr:nvSpPr>
          <xdr:cNvPr id="69" name="Rectangle 68">
            <a:extLst>
              <a:ext uri="{FF2B5EF4-FFF2-40B4-BE49-F238E27FC236}">
                <a16:creationId xmlns:a16="http://schemas.microsoft.com/office/drawing/2014/main" id="{FD3A4680-2160-7163-42BE-CE09AE7561A7}"/>
              </a:ext>
            </a:extLst>
          </xdr:cNvPr>
          <xdr:cNvSpPr/>
        </xdr:nvSpPr>
        <xdr:spPr>
          <a:xfrm>
            <a:off x="-1767839"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70" name="Rectangle 69">
            <a:extLst>
              <a:ext uri="{FF2B5EF4-FFF2-40B4-BE49-F238E27FC236}">
                <a16:creationId xmlns:a16="http://schemas.microsoft.com/office/drawing/2014/main" id="{7628FC43-6F56-AB07-131B-BE7F58F28CA1}"/>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Customer</a:t>
            </a:r>
            <a:r>
              <a:rPr lang="en-IN" sz="1400" b="1" baseline="0"/>
              <a:t> Type</a:t>
            </a:r>
            <a:endParaRPr lang="en-IN" sz="1400" b="1"/>
          </a:p>
        </xdr:txBody>
      </xdr:sp>
    </xdr:grpSp>
    <xdr:clientData/>
  </xdr:twoCellAnchor>
  <xdr:twoCellAnchor>
    <xdr:from>
      <xdr:col>7</xdr:col>
      <xdr:colOff>22860</xdr:colOff>
      <xdr:row>17</xdr:row>
      <xdr:rowOff>152400</xdr:rowOff>
    </xdr:from>
    <xdr:to>
      <xdr:col>10</xdr:col>
      <xdr:colOff>403860</xdr:colOff>
      <xdr:row>25</xdr:row>
      <xdr:rowOff>152400</xdr:rowOff>
    </xdr:to>
    <xdr:grpSp>
      <xdr:nvGrpSpPr>
        <xdr:cNvPr id="71" name="Group 70">
          <a:extLst>
            <a:ext uri="{FF2B5EF4-FFF2-40B4-BE49-F238E27FC236}">
              <a16:creationId xmlns:a16="http://schemas.microsoft.com/office/drawing/2014/main" id="{17CFEDB9-F663-4949-80A7-B39F95DDCAD4}"/>
            </a:ext>
          </a:extLst>
        </xdr:cNvPr>
        <xdr:cNvGrpSpPr/>
      </xdr:nvGrpSpPr>
      <xdr:grpSpPr>
        <a:xfrm>
          <a:off x="4290060" y="3261360"/>
          <a:ext cx="2209800" cy="1463040"/>
          <a:chOff x="-1767840" y="1783080"/>
          <a:chExt cx="3444240" cy="1684020"/>
        </a:xfrm>
      </xdr:grpSpPr>
      <xdr:sp macro="" textlink="">
        <xdr:nvSpPr>
          <xdr:cNvPr id="72" name="Rectangle 71">
            <a:extLst>
              <a:ext uri="{FF2B5EF4-FFF2-40B4-BE49-F238E27FC236}">
                <a16:creationId xmlns:a16="http://schemas.microsoft.com/office/drawing/2014/main" id="{67A43321-2555-5638-7212-F010D5A18421}"/>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73" name="Rectangle 72">
            <a:extLst>
              <a:ext uri="{FF2B5EF4-FFF2-40B4-BE49-F238E27FC236}">
                <a16:creationId xmlns:a16="http://schemas.microsoft.com/office/drawing/2014/main" id="{45C4A3DA-690E-0EB2-4379-D2B1FA117BF4}"/>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Store</a:t>
            </a:r>
            <a:r>
              <a:rPr lang="en-IN" sz="1400" b="1" baseline="0"/>
              <a:t> Sales</a:t>
            </a:r>
            <a:endParaRPr lang="en-IN" sz="1400" b="1"/>
          </a:p>
        </xdr:txBody>
      </xdr:sp>
    </xdr:grpSp>
    <xdr:clientData/>
  </xdr:twoCellAnchor>
  <xdr:twoCellAnchor>
    <xdr:from>
      <xdr:col>19</xdr:col>
      <xdr:colOff>259080</xdr:colOff>
      <xdr:row>9</xdr:row>
      <xdr:rowOff>38100</xdr:rowOff>
    </xdr:from>
    <xdr:to>
      <xdr:col>23</xdr:col>
      <xdr:colOff>167640</xdr:colOff>
      <xdr:row>17</xdr:row>
      <xdr:rowOff>129540</xdr:rowOff>
    </xdr:to>
    <xdr:grpSp>
      <xdr:nvGrpSpPr>
        <xdr:cNvPr id="74" name="Group 73">
          <a:extLst>
            <a:ext uri="{FF2B5EF4-FFF2-40B4-BE49-F238E27FC236}">
              <a16:creationId xmlns:a16="http://schemas.microsoft.com/office/drawing/2014/main" id="{1A0915CE-FFA8-4793-B5B5-AE8BE435B003}"/>
            </a:ext>
          </a:extLst>
        </xdr:cNvPr>
        <xdr:cNvGrpSpPr/>
      </xdr:nvGrpSpPr>
      <xdr:grpSpPr>
        <a:xfrm>
          <a:off x="11849100" y="1684020"/>
          <a:ext cx="2346960" cy="1554480"/>
          <a:chOff x="-1767840" y="1783080"/>
          <a:chExt cx="3444240" cy="1684020"/>
        </a:xfrm>
      </xdr:grpSpPr>
      <xdr:sp macro="" textlink="">
        <xdr:nvSpPr>
          <xdr:cNvPr id="75" name="Rectangle 74">
            <a:extLst>
              <a:ext uri="{FF2B5EF4-FFF2-40B4-BE49-F238E27FC236}">
                <a16:creationId xmlns:a16="http://schemas.microsoft.com/office/drawing/2014/main" id="{6DB0736F-B6FA-047F-998F-A32099A78557}"/>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76" name="Rectangle 75">
            <a:extLst>
              <a:ext uri="{FF2B5EF4-FFF2-40B4-BE49-F238E27FC236}">
                <a16:creationId xmlns:a16="http://schemas.microsoft.com/office/drawing/2014/main" id="{E03F0E37-AFCE-9D47-CE94-A78F5EA5044C}"/>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Region</a:t>
            </a:r>
            <a:r>
              <a:rPr lang="en-IN" sz="1400" b="1" baseline="0"/>
              <a:t> Performance</a:t>
            </a:r>
            <a:endParaRPr lang="en-IN" sz="1400" b="1"/>
          </a:p>
        </xdr:txBody>
      </xdr:sp>
    </xdr:grpSp>
    <xdr:clientData/>
  </xdr:twoCellAnchor>
  <xdr:twoCellAnchor>
    <xdr:from>
      <xdr:col>8</xdr:col>
      <xdr:colOff>76200</xdr:colOff>
      <xdr:row>9</xdr:row>
      <xdr:rowOff>60960</xdr:rowOff>
    </xdr:from>
    <xdr:to>
      <xdr:col>14</xdr:col>
      <xdr:colOff>205740</xdr:colOff>
      <xdr:row>17</xdr:row>
      <xdr:rowOff>137160</xdr:rowOff>
    </xdr:to>
    <xdr:grpSp>
      <xdr:nvGrpSpPr>
        <xdr:cNvPr id="84" name="Group 83">
          <a:extLst>
            <a:ext uri="{FF2B5EF4-FFF2-40B4-BE49-F238E27FC236}">
              <a16:creationId xmlns:a16="http://schemas.microsoft.com/office/drawing/2014/main" id="{61484515-70CA-F3C9-6B0E-0A7EC04FECD2}"/>
            </a:ext>
          </a:extLst>
        </xdr:cNvPr>
        <xdr:cNvGrpSpPr/>
      </xdr:nvGrpSpPr>
      <xdr:grpSpPr>
        <a:xfrm>
          <a:off x="4953000" y="1706880"/>
          <a:ext cx="3794760" cy="1539240"/>
          <a:chOff x="5425440" y="1714500"/>
          <a:chExt cx="3810000" cy="1577340"/>
        </a:xfrm>
      </xdr:grpSpPr>
      <xdr:grpSp>
        <xdr:nvGrpSpPr>
          <xdr:cNvPr id="58" name="Group 57">
            <a:extLst>
              <a:ext uri="{FF2B5EF4-FFF2-40B4-BE49-F238E27FC236}">
                <a16:creationId xmlns:a16="http://schemas.microsoft.com/office/drawing/2014/main" id="{40F34B3C-41BA-7272-E46E-AC70B74702DF}"/>
              </a:ext>
            </a:extLst>
          </xdr:cNvPr>
          <xdr:cNvGrpSpPr/>
        </xdr:nvGrpSpPr>
        <xdr:grpSpPr>
          <a:xfrm>
            <a:off x="5425440" y="1714500"/>
            <a:ext cx="3810000" cy="1577340"/>
            <a:chOff x="-1767840" y="1783080"/>
            <a:chExt cx="3444240" cy="1684020"/>
          </a:xfrm>
        </xdr:grpSpPr>
        <xdr:sp macro="" textlink="">
          <xdr:nvSpPr>
            <xdr:cNvPr id="60" name="Rectangle 59">
              <a:extLst>
                <a:ext uri="{FF2B5EF4-FFF2-40B4-BE49-F238E27FC236}">
                  <a16:creationId xmlns:a16="http://schemas.microsoft.com/office/drawing/2014/main" id="{2FF36429-9704-AE6D-561E-926898661752}"/>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61" name="Rectangle 60">
              <a:extLst>
                <a:ext uri="{FF2B5EF4-FFF2-40B4-BE49-F238E27FC236}">
                  <a16:creationId xmlns:a16="http://schemas.microsoft.com/office/drawing/2014/main" id="{48729B3A-4CBA-F36B-4BD4-F0180EEC1787}"/>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Regional Performance</a:t>
              </a:r>
            </a:p>
          </xdr:txBody>
        </xdr:sp>
      </xdr:grpSp>
      <xdr:graphicFrame macro="">
        <xdr:nvGraphicFramePr>
          <xdr:cNvPr id="81" name="Chart 80">
            <a:extLst>
              <a:ext uri="{FF2B5EF4-FFF2-40B4-BE49-F238E27FC236}">
                <a16:creationId xmlns:a16="http://schemas.microsoft.com/office/drawing/2014/main" id="{61E46E5A-C4EB-4924-BCBC-F6028C0FD5FB}"/>
              </a:ext>
            </a:extLst>
          </xdr:cNvPr>
          <xdr:cNvGraphicFramePr>
            <a:graphicFrameLocks/>
          </xdr:cNvGraphicFramePr>
        </xdr:nvGraphicFramePr>
        <xdr:xfrm>
          <a:off x="5471160" y="2011680"/>
          <a:ext cx="3718560" cy="1219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213360</xdr:colOff>
      <xdr:row>9</xdr:row>
      <xdr:rowOff>68580</xdr:rowOff>
    </xdr:from>
    <xdr:to>
      <xdr:col>8</xdr:col>
      <xdr:colOff>30480</xdr:colOff>
      <xdr:row>17</xdr:row>
      <xdr:rowOff>114300</xdr:rowOff>
    </xdr:to>
    <xdr:grpSp>
      <xdr:nvGrpSpPr>
        <xdr:cNvPr id="83" name="Group 82">
          <a:extLst>
            <a:ext uri="{FF2B5EF4-FFF2-40B4-BE49-F238E27FC236}">
              <a16:creationId xmlns:a16="http://schemas.microsoft.com/office/drawing/2014/main" id="{B83F8945-D85D-B8D7-B7C9-C631CC74854B}"/>
            </a:ext>
          </a:extLst>
        </xdr:cNvPr>
        <xdr:cNvGrpSpPr/>
      </xdr:nvGrpSpPr>
      <xdr:grpSpPr>
        <a:xfrm>
          <a:off x="2042160" y="1714500"/>
          <a:ext cx="2865120" cy="1508760"/>
          <a:chOff x="2339340" y="1821180"/>
          <a:chExt cx="2834640" cy="1783080"/>
        </a:xfrm>
      </xdr:grpSpPr>
      <xdr:grpSp>
        <xdr:nvGrpSpPr>
          <xdr:cNvPr id="65" name="Group 64">
            <a:extLst>
              <a:ext uri="{FF2B5EF4-FFF2-40B4-BE49-F238E27FC236}">
                <a16:creationId xmlns:a16="http://schemas.microsoft.com/office/drawing/2014/main" id="{42C2C1C7-4D7A-4E21-96A2-37A5CCB09C0F}"/>
              </a:ext>
            </a:extLst>
          </xdr:cNvPr>
          <xdr:cNvGrpSpPr/>
        </xdr:nvGrpSpPr>
        <xdr:grpSpPr>
          <a:xfrm>
            <a:off x="2339340" y="1821180"/>
            <a:ext cx="2834640" cy="1783080"/>
            <a:chOff x="-1767840" y="1783080"/>
            <a:chExt cx="3444240" cy="1684020"/>
          </a:xfrm>
        </xdr:grpSpPr>
        <xdr:sp macro="" textlink="">
          <xdr:nvSpPr>
            <xdr:cNvPr id="66" name="Rectangle 65">
              <a:extLst>
                <a:ext uri="{FF2B5EF4-FFF2-40B4-BE49-F238E27FC236}">
                  <a16:creationId xmlns:a16="http://schemas.microsoft.com/office/drawing/2014/main" id="{F4BD9D00-04C5-40DB-405F-D7FA85F9AACF}"/>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67" name="Rectangle 66">
              <a:extLst>
                <a:ext uri="{FF2B5EF4-FFF2-40B4-BE49-F238E27FC236}">
                  <a16:creationId xmlns:a16="http://schemas.microsoft.com/office/drawing/2014/main" id="{65FA0B64-FCA2-9A8A-1AF2-745A8083F421}"/>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Promotion</a:t>
              </a:r>
              <a:r>
                <a:rPr lang="en-IN" sz="1400" b="1" baseline="0"/>
                <a:t> Effect</a:t>
              </a:r>
              <a:endParaRPr lang="en-IN" sz="1400" b="1"/>
            </a:p>
          </xdr:txBody>
        </xdr:sp>
      </xdr:grpSp>
      <xdr:graphicFrame macro="">
        <xdr:nvGraphicFramePr>
          <xdr:cNvPr id="82" name="Chart 81">
            <a:extLst>
              <a:ext uri="{FF2B5EF4-FFF2-40B4-BE49-F238E27FC236}">
                <a16:creationId xmlns:a16="http://schemas.microsoft.com/office/drawing/2014/main" id="{EFAF2DA8-8113-4DD5-8FE0-FF2DB0633B65}"/>
              </a:ext>
            </a:extLst>
          </xdr:cNvPr>
          <xdr:cNvGraphicFramePr>
            <a:graphicFrameLocks/>
          </xdr:cNvGraphicFramePr>
        </xdr:nvGraphicFramePr>
        <xdr:xfrm>
          <a:off x="2369820" y="2110740"/>
          <a:ext cx="2758440" cy="144018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243840</xdr:colOff>
      <xdr:row>9</xdr:row>
      <xdr:rowOff>53340</xdr:rowOff>
    </xdr:from>
    <xdr:to>
      <xdr:col>19</xdr:col>
      <xdr:colOff>228600</xdr:colOff>
      <xdr:row>17</xdr:row>
      <xdr:rowOff>121920</xdr:rowOff>
    </xdr:to>
    <xdr:grpSp>
      <xdr:nvGrpSpPr>
        <xdr:cNvPr id="87" name="Group 86">
          <a:extLst>
            <a:ext uri="{FF2B5EF4-FFF2-40B4-BE49-F238E27FC236}">
              <a16:creationId xmlns:a16="http://schemas.microsoft.com/office/drawing/2014/main" id="{F2046D81-0F20-8C8B-7A88-31F587FCD580}"/>
            </a:ext>
          </a:extLst>
        </xdr:cNvPr>
        <xdr:cNvGrpSpPr/>
      </xdr:nvGrpSpPr>
      <xdr:grpSpPr>
        <a:xfrm>
          <a:off x="8785860" y="1699260"/>
          <a:ext cx="3032760" cy="1531620"/>
          <a:chOff x="8778240" y="1699260"/>
          <a:chExt cx="2636520" cy="1531620"/>
        </a:xfrm>
      </xdr:grpSpPr>
      <xdr:grpSp>
        <xdr:nvGrpSpPr>
          <xdr:cNvPr id="77" name="Group 76">
            <a:extLst>
              <a:ext uri="{FF2B5EF4-FFF2-40B4-BE49-F238E27FC236}">
                <a16:creationId xmlns:a16="http://schemas.microsoft.com/office/drawing/2014/main" id="{19F8515D-EEF1-47A8-8D0C-26C52ACE6D6E}"/>
              </a:ext>
            </a:extLst>
          </xdr:cNvPr>
          <xdr:cNvGrpSpPr/>
        </xdr:nvGrpSpPr>
        <xdr:grpSpPr>
          <a:xfrm>
            <a:off x="8778240" y="1699260"/>
            <a:ext cx="2636520" cy="1531620"/>
            <a:chOff x="-1767840" y="1783080"/>
            <a:chExt cx="3444240" cy="1684020"/>
          </a:xfrm>
        </xdr:grpSpPr>
        <xdr:sp macro="" textlink="">
          <xdr:nvSpPr>
            <xdr:cNvPr id="78" name="Rectangle 77">
              <a:extLst>
                <a:ext uri="{FF2B5EF4-FFF2-40B4-BE49-F238E27FC236}">
                  <a16:creationId xmlns:a16="http://schemas.microsoft.com/office/drawing/2014/main" id="{A7C00399-916E-D297-F928-A48E21B3F47D}"/>
                </a:ext>
              </a:extLst>
            </xdr:cNvPr>
            <xdr:cNvSpPr/>
          </xdr:nvSpPr>
          <xdr:spPr>
            <a:xfrm>
              <a:off x="-1767840" y="1783080"/>
              <a:ext cx="3444240" cy="1684020"/>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n-IN" sz="1100"/>
            </a:p>
          </xdr:txBody>
        </xdr:sp>
        <xdr:sp macro="" textlink="">
          <xdr:nvSpPr>
            <xdr:cNvPr id="79" name="Rectangle 78">
              <a:extLst>
                <a:ext uri="{FF2B5EF4-FFF2-40B4-BE49-F238E27FC236}">
                  <a16:creationId xmlns:a16="http://schemas.microsoft.com/office/drawing/2014/main" id="{6329BE13-7741-1AE7-62D9-5C3C524D30C3}"/>
                </a:ext>
              </a:extLst>
            </xdr:cNvPr>
            <xdr:cNvSpPr/>
          </xdr:nvSpPr>
          <xdr:spPr>
            <a:xfrm>
              <a:off x="-1740560" y="1787479"/>
              <a:ext cx="3378860" cy="254681"/>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400" b="1"/>
                <a:t>Return</a:t>
              </a:r>
              <a:r>
                <a:rPr lang="en-IN" sz="1400" b="1" baseline="0"/>
                <a:t> Items</a:t>
              </a:r>
              <a:endParaRPr lang="en-IN" sz="1400" b="1"/>
            </a:p>
          </xdr:txBody>
        </xdr:sp>
      </xdr:grpSp>
      <xdr:graphicFrame macro="">
        <xdr:nvGraphicFramePr>
          <xdr:cNvPr id="86" name="Chart 85">
            <a:extLst>
              <a:ext uri="{FF2B5EF4-FFF2-40B4-BE49-F238E27FC236}">
                <a16:creationId xmlns:a16="http://schemas.microsoft.com/office/drawing/2014/main" id="{D3EF88D6-EA56-4AF1-A526-F09C54B3B8F9}"/>
              </a:ext>
            </a:extLst>
          </xdr:cNvPr>
          <xdr:cNvGraphicFramePr>
            <a:graphicFrameLocks/>
          </xdr:cNvGraphicFramePr>
        </xdr:nvGraphicFramePr>
        <xdr:xfrm>
          <a:off x="8801100" y="1973580"/>
          <a:ext cx="2567940" cy="123444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19</xdr:col>
      <xdr:colOff>274320</xdr:colOff>
      <xdr:row>10</xdr:row>
      <xdr:rowOff>129540</xdr:rowOff>
    </xdr:from>
    <xdr:to>
      <xdr:col>23</xdr:col>
      <xdr:colOff>160020</xdr:colOff>
      <xdr:row>17</xdr:row>
      <xdr:rowOff>91440</xdr:rowOff>
    </xdr:to>
    <xdr:graphicFrame macro="">
      <xdr:nvGraphicFramePr>
        <xdr:cNvPr id="89" name="Chart 88">
          <a:extLst>
            <a:ext uri="{FF2B5EF4-FFF2-40B4-BE49-F238E27FC236}">
              <a16:creationId xmlns:a16="http://schemas.microsoft.com/office/drawing/2014/main" id="{79A49826-A01B-4702-8484-4780E7D0D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236220</xdr:colOff>
      <xdr:row>19</xdr:row>
      <xdr:rowOff>76200</xdr:rowOff>
    </xdr:from>
    <xdr:to>
      <xdr:col>6</xdr:col>
      <xdr:colOff>541020</xdr:colOff>
      <xdr:row>25</xdr:row>
      <xdr:rowOff>129540</xdr:rowOff>
    </xdr:to>
    <xdr:graphicFrame macro="">
      <xdr:nvGraphicFramePr>
        <xdr:cNvPr id="90" name="Chart 89">
          <a:extLst>
            <a:ext uri="{FF2B5EF4-FFF2-40B4-BE49-F238E27FC236}">
              <a16:creationId xmlns:a16="http://schemas.microsoft.com/office/drawing/2014/main" id="{34A0CAEB-BD1A-4DF2-998F-1FFC10B66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45720</xdr:colOff>
      <xdr:row>19</xdr:row>
      <xdr:rowOff>60960</xdr:rowOff>
    </xdr:from>
    <xdr:to>
      <xdr:col>10</xdr:col>
      <xdr:colOff>350520</xdr:colOff>
      <xdr:row>25</xdr:row>
      <xdr:rowOff>129540</xdr:rowOff>
    </xdr:to>
    <xdr:graphicFrame macro="">
      <xdr:nvGraphicFramePr>
        <xdr:cNvPr id="91" name="Chart 90">
          <a:extLst>
            <a:ext uri="{FF2B5EF4-FFF2-40B4-BE49-F238E27FC236}">
              <a16:creationId xmlns:a16="http://schemas.microsoft.com/office/drawing/2014/main" id="{C32739B0-8D41-4ECB-8C66-D7B28BCF9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441960</xdr:colOff>
      <xdr:row>19</xdr:row>
      <xdr:rowOff>38100</xdr:rowOff>
    </xdr:from>
    <xdr:to>
      <xdr:col>14</xdr:col>
      <xdr:colOff>175260</xdr:colOff>
      <xdr:row>25</xdr:row>
      <xdr:rowOff>121920</xdr:rowOff>
    </xdr:to>
    <xdr:graphicFrame macro="">
      <xdr:nvGraphicFramePr>
        <xdr:cNvPr id="92" name="Chart 91">
          <a:extLst>
            <a:ext uri="{FF2B5EF4-FFF2-40B4-BE49-F238E27FC236}">
              <a16:creationId xmlns:a16="http://schemas.microsoft.com/office/drawing/2014/main" id="{811AC2F3-EF95-412E-95F7-7E4916FFE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xdr:col>
      <xdr:colOff>274320</xdr:colOff>
      <xdr:row>22</xdr:row>
      <xdr:rowOff>91440</xdr:rowOff>
    </xdr:from>
    <xdr:to>
      <xdr:col>23</xdr:col>
      <xdr:colOff>175260</xdr:colOff>
      <xdr:row>25</xdr:row>
      <xdr:rowOff>144780</xdr:rowOff>
    </xdr:to>
    <mc:AlternateContent xmlns:mc="http://schemas.openxmlformats.org/markup-compatibility/2006" xmlns:a14="http://schemas.microsoft.com/office/drawing/2010/main">
      <mc:Choice Requires="a14">
        <xdr:graphicFrame macro="">
          <xdr:nvGraphicFramePr>
            <xdr:cNvPr id="93" name="CustomerType 1">
              <a:extLst>
                <a:ext uri="{FF2B5EF4-FFF2-40B4-BE49-F238E27FC236}">
                  <a16:creationId xmlns:a16="http://schemas.microsoft.com/office/drawing/2014/main" id="{9429D893-591F-4185-84FF-FFABA347DC98}"/>
                </a:ext>
              </a:extLst>
            </xdr:cNvPr>
            <xdr:cNvGraphicFramePr/>
          </xdr:nvGraphicFramePr>
          <xdr:xfrm>
            <a:off x="0" y="0"/>
            <a:ext cx="0" cy="0"/>
          </xdr:xfrm>
          <a:graphic>
            <a:graphicData uri="http://schemas.microsoft.com/office/drawing/2010/slicer">
              <sle:slicer xmlns:sle="http://schemas.microsoft.com/office/drawing/2010/slicer" name="CustomerType 1"/>
            </a:graphicData>
          </a:graphic>
        </xdr:graphicFrame>
      </mc:Choice>
      <mc:Fallback xmlns="">
        <xdr:sp macro="" textlink="">
          <xdr:nvSpPr>
            <xdr:cNvPr id="0" name=""/>
            <xdr:cNvSpPr>
              <a:spLocks noTextEdit="1"/>
            </xdr:cNvSpPr>
          </xdr:nvSpPr>
          <xdr:spPr>
            <a:xfrm>
              <a:off x="11864340" y="4114800"/>
              <a:ext cx="233934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403860</xdr:colOff>
      <xdr:row>17</xdr:row>
      <xdr:rowOff>129541</xdr:rowOff>
    </xdr:from>
    <xdr:to>
      <xdr:col>19</xdr:col>
      <xdr:colOff>243840</xdr:colOff>
      <xdr:row>25</xdr:row>
      <xdr:rowOff>121920</xdr:rowOff>
    </xdr:to>
    <mc:AlternateContent xmlns:mc="http://schemas.openxmlformats.org/markup-compatibility/2006" xmlns:a14="http://schemas.microsoft.com/office/drawing/2010/main">
      <mc:Choice Requires="a14">
        <xdr:graphicFrame macro="">
          <xdr:nvGraphicFramePr>
            <xdr:cNvPr id="94" name="Product 1">
              <a:extLst>
                <a:ext uri="{FF2B5EF4-FFF2-40B4-BE49-F238E27FC236}">
                  <a16:creationId xmlns:a16="http://schemas.microsoft.com/office/drawing/2014/main" id="{85395F22-E88A-4F00-B697-3F37089BD39F}"/>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157460" y="3238501"/>
              <a:ext cx="1668780" cy="14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266700</xdr:colOff>
      <xdr:row>17</xdr:row>
      <xdr:rowOff>129541</xdr:rowOff>
    </xdr:from>
    <xdr:to>
      <xdr:col>23</xdr:col>
      <xdr:colOff>167640</xdr:colOff>
      <xdr:row>22</xdr:row>
      <xdr:rowOff>60960</xdr:rowOff>
    </xdr:to>
    <mc:AlternateContent xmlns:mc="http://schemas.openxmlformats.org/markup-compatibility/2006" xmlns:a14="http://schemas.microsoft.com/office/drawing/2010/main">
      <mc:Choice Requires="a14">
        <xdr:graphicFrame macro="">
          <xdr:nvGraphicFramePr>
            <xdr:cNvPr id="95" name="Region 1">
              <a:extLst>
                <a:ext uri="{FF2B5EF4-FFF2-40B4-BE49-F238E27FC236}">
                  <a16:creationId xmlns:a16="http://schemas.microsoft.com/office/drawing/2014/main" id="{7218DB85-D439-4B79-B17E-F9BC8AEDD8F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49100" y="3238501"/>
              <a:ext cx="1638300" cy="84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17</xdr:row>
      <xdr:rowOff>144780</xdr:rowOff>
    </xdr:from>
    <xdr:to>
      <xdr:col>16</xdr:col>
      <xdr:colOff>373380</xdr:colOff>
      <xdr:row>25</xdr:row>
      <xdr:rowOff>144780</xdr:rowOff>
    </xdr:to>
    <mc:AlternateContent xmlns:mc="http://schemas.openxmlformats.org/markup-compatibility/2006" xmlns:a14="http://schemas.microsoft.com/office/drawing/2010/main">
      <mc:Choice Requires="a14">
        <xdr:graphicFrame macro="">
          <xdr:nvGraphicFramePr>
            <xdr:cNvPr id="97" name="Years (Date) 1">
              <a:extLst>
                <a:ext uri="{FF2B5EF4-FFF2-40B4-BE49-F238E27FC236}">
                  <a16:creationId xmlns:a16="http://schemas.microsoft.com/office/drawing/2014/main" id="{42201A7D-E5C4-46C9-A521-E0F668F8BFD8}"/>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8747760" y="3253740"/>
              <a:ext cx="1379220" cy="1424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it" refreshedDate="45912.934824305557" createdVersion="8" refreshedVersion="8" minRefreshableVersion="3" recordCount="1500" xr:uid="{9100FABB-5110-4183-88EA-FB347EC6187D}">
  <cacheSource type="worksheet">
    <worksheetSource name="Table1"/>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ount="2">
        <s v="Wholesale"/>
        <s v="Retail"/>
      </sharedItems>
    </cacheField>
    <cacheField name="Discount" numFmtId="0">
      <sharedItems containsSemiMixedTypes="0" containsString="0" containsNumber="1" minValue="0" maxValue="0.15" count="4">
        <n v="0"/>
        <n v="0.1"/>
        <n v="0.15"/>
        <n v="0.05"/>
      </sharedItems>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4">
        <s v="FREESHIP"/>
        <s v="SAVE10"/>
        <s v="WINTER15"/>
        <m/>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Months (Date)" numFmtId="0" databaseField="0">
      <fieldGroup base="0">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0">
        <rangePr groupBy="quarters" startDate="2023-01-01T00:00:00" endDate="2025-07-01T00:00:00"/>
        <groupItems count="6">
          <s v="&lt;01-01-2023"/>
          <s v="Qtr1"/>
          <s v="Qtr2"/>
          <s v="Qtr3"/>
          <s v="Qtr4"/>
          <s v="&gt;01-07-2025"/>
        </groupItems>
      </fieldGroup>
    </cacheField>
    <cacheField name="Years (Date)"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099307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x v="0"/>
    <x v="0"/>
    <x v="0"/>
    <x v="0"/>
    <n v="2290.4"/>
    <x v="0"/>
    <x v="0"/>
    <n v="0"/>
    <s v="REG100000"/>
    <s v="Cust 6583"/>
    <n v="43.34"/>
    <d v="2023-02-23T00:00:00"/>
    <d v="2023-02-27T00:00:00"/>
    <x v="0"/>
  </r>
  <r>
    <x v="1"/>
    <x v="1"/>
    <x v="1"/>
    <n v="1"/>
    <n v="544.01"/>
    <x v="1"/>
    <x v="1"/>
    <x v="0"/>
    <x v="1"/>
    <n v="544.01"/>
    <x v="1"/>
    <x v="1"/>
    <n v="0"/>
    <s v="REG100001"/>
    <s v="Cust 2144"/>
    <n v="5.3"/>
    <d v="2024-12-19T00:00:00"/>
    <d v="2024-12-28T00:00:00"/>
    <x v="1"/>
  </r>
  <r>
    <x v="2"/>
    <x v="2"/>
    <x v="2"/>
    <n v="14"/>
    <n v="346.18"/>
    <x v="0"/>
    <x v="0"/>
    <x v="1"/>
    <x v="1"/>
    <n v="4361.8680000000004"/>
    <x v="0"/>
    <x v="2"/>
    <n v="0"/>
    <s v="REG100002"/>
    <s v="Cust 5998"/>
    <n v="20.46"/>
    <d v="2023-05-10T00:00:00"/>
    <d v="2023-05-19T00:00:00"/>
    <x v="2"/>
  </r>
  <r>
    <x v="3"/>
    <x v="3"/>
    <x v="3"/>
    <n v="18"/>
    <n v="384.82"/>
    <x v="1"/>
    <x v="0"/>
    <x v="2"/>
    <x v="2"/>
    <n v="5887.7460000000001"/>
    <x v="1"/>
    <x v="0"/>
    <n v="0"/>
    <s v="REG100003"/>
    <s v="Cust 7136"/>
    <n v="27.95"/>
    <d v="2025-02-26T00:00:00"/>
    <d v="2025-03-02T00:00:00"/>
    <x v="3"/>
  </r>
  <r>
    <x v="4"/>
    <x v="0"/>
    <x v="2"/>
    <n v="18"/>
    <n v="237.76"/>
    <x v="2"/>
    <x v="1"/>
    <x v="0"/>
    <x v="3"/>
    <n v="4279.68"/>
    <x v="0"/>
    <x v="1"/>
    <n v="0"/>
    <s v="REG100004"/>
    <s v="Cust 6506"/>
    <n v="5.73"/>
    <d v="2023-06-24T00:00:00"/>
    <d v="2023-06-27T00:00:00"/>
    <x v="0"/>
  </r>
  <r>
    <x v="5"/>
    <x v="3"/>
    <x v="4"/>
    <n v="2"/>
    <n v="385.09"/>
    <x v="3"/>
    <x v="0"/>
    <x v="2"/>
    <x v="4"/>
    <n v="654.65299999999991"/>
    <x v="2"/>
    <x v="3"/>
    <n v="0"/>
    <s v="REG100005"/>
    <s v="Cust 3909"/>
    <n v="11.92"/>
    <d v="2024-02-20T00:00:00"/>
    <d v="2024-03-01T00:00:00"/>
    <x v="3"/>
  </r>
  <r>
    <x v="6"/>
    <x v="1"/>
    <x v="3"/>
    <n v="7"/>
    <n v="17.5"/>
    <x v="2"/>
    <x v="1"/>
    <x v="1"/>
    <x v="1"/>
    <n v="110.25"/>
    <x v="3"/>
    <x v="2"/>
    <n v="0"/>
    <s v="REG100006"/>
    <s v="Cust 7887"/>
    <n v="5.0199999999999996"/>
    <d v="2023-01-11T00:00:00"/>
    <d v="2023-01-14T00:00:00"/>
    <x v="1"/>
  </r>
  <r>
    <x v="7"/>
    <x v="3"/>
    <x v="3"/>
    <n v="3"/>
    <n v="330.22"/>
    <x v="2"/>
    <x v="0"/>
    <x v="2"/>
    <x v="3"/>
    <n v="842.06100000000004"/>
    <x v="4"/>
    <x v="3"/>
    <n v="0"/>
    <s v="REG100007"/>
    <s v="Cust 5301"/>
    <n v="48.01"/>
    <d v="2023-01-09T00:00:00"/>
    <d v="2023-01-11T00:00:00"/>
    <x v="3"/>
  </r>
  <r>
    <x v="8"/>
    <x v="1"/>
    <x v="3"/>
    <n v="3"/>
    <n v="432.04"/>
    <x v="3"/>
    <x v="0"/>
    <x v="3"/>
    <x v="5"/>
    <n v="1231.3140000000001"/>
    <x v="3"/>
    <x v="0"/>
    <n v="1"/>
    <s v="REG100008"/>
    <s v="Cust 2284"/>
    <n v="42.11"/>
    <d v="2024-10-16T00:00:00"/>
    <d v="2024-10-18T00:00:00"/>
    <x v="1"/>
  </r>
  <r>
    <x v="9"/>
    <x v="4"/>
    <x v="2"/>
    <n v="5"/>
    <n v="323.27999999999997"/>
    <x v="3"/>
    <x v="1"/>
    <x v="1"/>
    <x v="2"/>
    <n v="1454.76"/>
    <x v="1"/>
    <x v="1"/>
    <n v="0"/>
    <s v="REG100009"/>
    <s v="Cust 3732"/>
    <n v="41.1"/>
    <d v="2025-03-05T00:00:00"/>
    <d v="2025-03-13T00:00:00"/>
    <x v="4"/>
  </r>
  <r>
    <x v="10"/>
    <x v="2"/>
    <x v="2"/>
    <n v="15"/>
    <n v="523.29"/>
    <x v="0"/>
    <x v="0"/>
    <x v="2"/>
    <x v="0"/>
    <n v="6671.9474999999993"/>
    <x v="3"/>
    <x v="3"/>
    <n v="0"/>
    <s v="REG100010"/>
    <s v="Cust 1462"/>
    <n v="12.14"/>
    <d v="2024-04-10T00:00:00"/>
    <d v="2024-04-17T00:00:00"/>
    <x v="2"/>
  </r>
  <r>
    <x v="11"/>
    <x v="0"/>
    <x v="1"/>
    <n v="19"/>
    <n v="207.35"/>
    <x v="3"/>
    <x v="1"/>
    <x v="1"/>
    <x v="0"/>
    <n v="3545.6849999999999"/>
    <x v="1"/>
    <x v="3"/>
    <n v="1"/>
    <s v="REG100011"/>
    <s v="Cust 4330"/>
    <n v="44.89"/>
    <d v="2024-07-12T00:00:00"/>
    <d v="2024-07-18T00:00:00"/>
    <x v="0"/>
  </r>
  <r>
    <x v="12"/>
    <x v="3"/>
    <x v="1"/>
    <n v="1"/>
    <n v="120.53"/>
    <x v="0"/>
    <x v="1"/>
    <x v="3"/>
    <x v="4"/>
    <n v="114.5035"/>
    <x v="4"/>
    <x v="2"/>
    <n v="0"/>
    <s v="REG100012"/>
    <s v="Cust 2372"/>
    <n v="20.350000000000001"/>
    <d v="2023-07-21T00:00:00"/>
    <d v="2023-07-31T00:00:00"/>
    <x v="3"/>
  </r>
  <r>
    <x v="13"/>
    <x v="4"/>
    <x v="5"/>
    <n v="1"/>
    <n v="157.83000000000001"/>
    <x v="1"/>
    <x v="0"/>
    <x v="2"/>
    <x v="3"/>
    <n v="134.15549999999999"/>
    <x v="3"/>
    <x v="3"/>
    <n v="0"/>
    <s v="REG100013"/>
    <s v="Cust 4672"/>
    <n v="42.82"/>
    <d v="2025-01-18T00:00:00"/>
    <d v="2025-01-22T00:00:00"/>
    <x v="4"/>
  </r>
  <r>
    <x v="14"/>
    <x v="2"/>
    <x v="2"/>
    <n v="15"/>
    <n v="220.3"/>
    <x v="0"/>
    <x v="1"/>
    <x v="2"/>
    <x v="4"/>
    <n v="2808.8249999999998"/>
    <x v="3"/>
    <x v="3"/>
    <n v="0"/>
    <s v="REG100014"/>
    <s v="Cust 4548"/>
    <n v="39.659999999999997"/>
    <d v="2024-12-08T00:00:00"/>
    <d v="2024-12-15T00:00:00"/>
    <x v="2"/>
  </r>
  <r>
    <x v="15"/>
    <x v="4"/>
    <x v="3"/>
    <n v="17"/>
    <n v="162.96"/>
    <x v="1"/>
    <x v="0"/>
    <x v="3"/>
    <x v="0"/>
    <n v="2631.8040000000001"/>
    <x v="1"/>
    <x v="0"/>
    <n v="0"/>
    <s v="REG100015"/>
    <s v="Cust 7037"/>
    <n v="8.11"/>
    <d v="2025-05-11T00:00:00"/>
    <d v="2025-05-17T00:00:00"/>
    <x v="4"/>
  </r>
  <r>
    <x v="16"/>
    <x v="4"/>
    <x v="0"/>
    <n v="19"/>
    <n v="236.11"/>
    <x v="3"/>
    <x v="0"/>
    <x v="0"/>
    <x v="5"/>
    <n v="4486.09"/>
    <x v="0"/>
    <x v="2"/>
    <n v="0"/>
    <s v="REG100016"/>
    <s v="Cust 4975"/>
    <n v="34.11"/>
    <d v="2023-02-26T00:00:00"/>
    <d v="2023-03-04T00:00:00"/>
    <x v="4"/>
  </r>
  <r>
    <x v="17"/>
    <x v="3"/>
    <x v="2"/>
    <n v="11"/>
    <n v="573.14"/>
    <x v="3"/>
    <x v="1"/>
    <x v="3"/>
    <x v="4"/>
    <n v="5989.3130000000001"/>
    <x v="4"/>
    <x v="1"/>
    <n v="0"/>
    <s v="REG100017"/>
    <s v="Cust 8014"/>
    <n v="34.71"/>
    <d v="2024-05-28T00:00:00"/>
    <d v="2024-06-01T00:00:00"/>
    <x v="3"/>
  </r>
  <r>
    <x v="18"/>
    <x v="0"/>
    <x v="1"/>
    <n v="20"/>
    <n v="519.04"/>
    <x v="0"/>
    <x v="1"/>
    <x v="2"/>
    <x v="3"/>
    <n v="8823.6799999999985"/>
    <x v="1"/>
    <x v="0"/>
    <n v="0"/>
    <s v="REG100018"/>
    <s v="Cust 1228"/>
    <n v="19.43"/>
    <d v="2023-11-30T00:00:00"/>
    <d v="2023-12-08T00:00:00"/>
    <x v="0"/>
  </r>
  <r>
    <x v="19"/>
    <x v="4"/>
    <x v="2"/>
    <n v="14"/>
    <n v="30.83"/>
    <x v="0"/>
    <x v="1"/>
    <x v="0"/>
    <x v="3"/>
    <n v="431.62"/>
    <x v="0"/>
    <x v="2"/>
    <n v="1"/>
    <s v="REG100019"/>
    <s v="Cust 4247"/>
    <n v="7.1"/>
    <d v="2023-06-22T00:00:00"/>
    <d v="2023-07-02T00:00:00"/>
    <x v="4"/>
  </r>
  <r>
    <x v="20"/>
    <x v="4"/>
    <x v="1"/>
    <n v="10"/>
    <n v="319.05"/>
    <x v="3"/>
    <x v="0"/>
    <x v="0"/>
    <x v="4"/>
    <n v="3190.5"/>
    <x v="0"/>
    <x v="3"/>
    <n v="0"/>
    <s v="REG100020"/>
    <s v="Cust 4199"/>
    <n v="28.43"/>
    <d v="2025-06-05T00:00:00"/>
    <d v="2025-06-08T00:00:00"/>
    <x v="4"/>
  </r>
  <r>
    <x v="21"/>
    <x v="3"/>
    <x v="3"/>
    <n v="14"/>
    <n v="312.79000000000002"/>
    <x v="1"/>
    <x v="1"/>
    <x v="3"/>
    <x v="5"/>
    <n v="4160.107"/>
    <x v="0"/>
    <x v="3"/>
    <n v="1"/>
    <s v="REG100021"/>
    <s v="Cust 4186"/>
    <n v="46.83"/>
    <d v="2023-03-03T00:00:00"/>
    <d v="2023-03-08T00:00:00"/>
    <x v="3"/>
  </r>
  <r>
    <x v="22"/>
    <x v="2"/>
    <x v="0"/>
    <n v="14"/>
    <n v="395.45"/>
    <x v="2"/>
    <x v="1"/>
    <x v="0"/>
    <x v="3"/>
    <n v="5536.3"/>
    <x v="4"/>
    <x v="0"/>
    <n v="1"/>
    <s v="REG100022"/>
    <s v="Cust 8137"/>
    <n v="36.450000000000003"/>
    <d v="2024-02-18T00:00:00"/>
    <d v="2024-02-22T00:00:00"/>
    <x v="2"/>
  </r>
  <r>
    <x v="23"/>
    <x v="3"/>
    <x v="0"/>
    <n v="12"/>
    <n v="472.72"/>
    <x v="3"/>
    <x v="1"/>
    <x v="2"/>
    <x v="4"/>
    <n v="4821.7440000000006"/>
    <x v="2"/>
    <x v="3"/>
    <n v="0"/>
    <s v="REG100023"/>
    <s v="Cust 4638"/>
    <n v="27.97"/>
    <d v="2023-08-06T00:00:00"/>
    <d v="2023-08-14T00:00:00"/>
    <x v="3"/>
  </r>
  <r>
    <x v="24"/>
    <x v="2"/>
    <x v="2"/>
    <n v="5"/>
    <n v="288.01"/>
    <x v="1"/>
    <x v="0"/>
    <x v="0"/>
    <x v="0"/>
    <n v="1440.05"/>
    <x v="2"/>
    <x v="0"/>
    <n v="0"/>
    <s v="REG100024"/>
    <s v="Cust 8538"/>
    <n v="46.69"/>
    <d v="2024-05-23T00:00:00"/>
    <d v="2024-05-30T00:00:00"/>
    <x v="2"/>
  </r>
  <r>
    <x v="25"/>
    <x v="0"/>
    <x v="1"/>
    <n v="13"/>
    <n v="562.29"/>
    <x v="3"/>
    <x v="1"/>
    <x v="0"/>
    <x v="4"/>
    <n v="7309.77"/>
    <x v="1"/>
    <x v="1"/>
    <n v="0"/>
    <s v="REG100025"/>
    <s v="Cust 6322"/>
    <n v="38.130000000000003"/>
    <d v="2023-10-23T00:00:00"/>
    <d v="2023-10-28T00:00:00"/>
    <x v="0"/>
  </r>
  <r>
    <x v="26"/>
    <x v="4"/>
    <x v="1"/>
    <n v="1"/>
    <n v="101.73"/>
    <x v="3"/>
    <x v="1"/>
    <x v="0"/>
    <x v="2"/>
    <n v="101.73"/>
    <x v="3"/>
    <x v="2"/>
    <n v="0"/>
    <s v="REG100026"/>
    <s v="Cust 2609"/>
    <n v="11.59"/>
    <d v="2025-06-16T00:00:00"/>
    <d v="2025-06-25T00:00:00"/>
    <x v="4"/>
  </r>
  <r>
    <x v="21"/>
    <x v="2"/>
    <x v="1"/>
    <n v="4"/>
    <n v="279.49"/>
    <x v="0"/>
    <x v="1"/>
    <x v="0"/>
    <x v="4"/>
    <n v="1117.96"/>
    <x v="2"/>
    <x v="0"/>
    <n v="0"/>
    <s v="REG100027"/>
    <s v="Cust 6880"/>
    <n v="24.78"/>
    <d v="2023-03-03T00:00:00"/>
    <d v="2023-03-08T00:00:00"/>
    <x v="2"/>
  </r>
  <r>
    <x v="27"/>
    <x v="1"/>
    <x v="0"/>
    <n v="1"/>
    <n v="178.55"/>
    <x v="1"/>
    <x v="1"/>
    <x v="2"/>
    <x v="3"/>
    <n v="151.76750000000001"/>
    <x v="3"/>
    <x v="1"/>
    <n v="1"/>
    <s v="REG100028"/>
    <s v="Cust 1997"/>
    <n v="7.61"/>
    <d v="2024-11-18T00:00:00"/>
    <d v="2024-11-21T00:00:00"/>
    <x v="1"/>
  </r>
  <r>
    <x v="28"/>
    <x v="3"/>
    <x v="5"/>
    <n v="1"/>
    <n v="472.07"/>
    <x v="1"/>
    <x v="0"/>
    <x v="1"/>
    <x v="3"/>
    <n v="424.863"/>
    <x v="0"/>
    <x v="0"/>
    <n v="0"/>
    <s v="REG100029"/>
    <s v="Cust 7072"/>
    <n v="33.17"/>
    <d v="2023-05-09T00:00:00"/>
    <d v="2023-05-17T00:00:00"/>
    <x v="3"/>
  </r>
  <r>
    <x v="29"/>
    <x v="2"/>
    <x v="5"/>
    <n v="12"/>
    <n v="306.29000000000002"/>
    <x v="3"/>
    <x v="1"/>
    <x v="0"/>
    <x v="2"/>
    <n v="3675.48"/>
    <x v="3"/>
    <x v="1"/>
    <n v="0"/>
    <s v="REG100030"/>
    <s v="Cust 7201"/>
    <n v="37.380000000000003"/>
    <d v="2024-12-07T00:00:00"/>
    <d v="2024-12-14T00:00:00"/>
    <x v="2"/>
  </r>
  <r>
    <x v="30"/>
    <x v="2"/>
    <x v="1"/>
    <n v="7"/>
    <n v="434.77"/>
    <x v="2"/>
    <x v="1"/>
    <x v="2"/>
    <x v="2"/>
    <n v="2586.8815"/>
    <x v="0"/>
    <x v="1"/>
    <n v="0"/>
    <s v="REG100031"/>
    <s v="Cust 9923"/>
    <n v="12.35"/>
    <d v="2024-02-13T00:00:00"/>
    <d v="2024-02-15T00:00:00"/>
    <x v="2"/>
  </r>
  <r>
    <x v="31"/>
    <x v="1"/>
    <x v="2"/>
    <n v="6"/>
    <n v="64.98"/>
    <x v="2"/>
    <x v="1"/>
    <x v="0"/>
    <x v="3"/>
    <n v="389.88"/>
    <x v="3"/>
    <x v="2"/>
    <n v="0"/>
    <s v="REG100032"/>
    <s v="Cust 2205"/>
    <n v="21.25"/>
    <d v="2025-03-09T00:00:00"/>
    <d v="2025-03-15T00:00:00"/>
    <x v="1"/>
  </r>
  <r>
    <x v="32"/>
    <x v="3"/>
    <x v="2"/>
    <n v="17"/>
    <n v="476.49"/>
    <x v="3"/>
    <x v="1"/>
    <x v="0"/>
    <x v="1"/>
    <n v="8100.33"/>
    <x v="1"/>
    <x v="3"/>
    <n v="0"/>
    <s v="REG100033"/>
    <s v="Cust 6403"/>
    <n v="17.91"/>
    <d v="2023-04-05T00:00:00"/>
    <d v="2023-04-11T00:00:00"/>
    <x v="3"/>
  </r>
  <r>
    <x v="33"/>
    <x v="2"/>
    <x v="4"/>
    <n v="4"/>
    <n v="559.72"/>
    <x v="3"/>
    <x v="1"/>
    <x v="2"/>
    <x v="4"/>
    <n v="1903.048"/>
    <x v="0"/>
    <x v="1"/>
    <n v="0"/>
    <s v="REG100034"/>
    <s v="Cust 3953"/>
    <n v="41.91"/>
    <d v="2025-05-08T00:00:00"/>
    <d v="2025-05-12T00:00:00"/>
    <x v="2"/>
  </r>
  <r>
    <x v="34"/>
    <x v="2"/>
    <x v="5"/>
    <n v="14"/>
    <n v="82.14"/>
    <x v="2"/>
    <x v="1"/>
    <x v="0"/>
    <x v="1"/>
    <n v="1149.96"/>
    <x v="2"/>
    <x v="3"/>
    <n v="0"/>
    <s v="REG100035"/>
    <s v="Cust 7902"/>
    <n v="12.57"/>
    <d v="2023-09-03T00:00:00"/>
    <d v="2023-09-11T00:00:00"/>
    <x v="2"/>
  </r>
  <r>
    <x v="35"/>
    <x v="3"/>
    <x v="3"/>
    <n v="9"/>
    <n v="343.21"/>
    <x v="1"/>
    <x v="1"/>
    <x v="3"/>
    <x v="3"/>
    <n v="2934.4454999999998"/>
    <x v="3"/>
    <x v="0"/>
    <n v="0"/>
    <s v="REG100036"/>
    <s v="Cust 9968"/>
    <n v="40.29"/>
    <d v="2025-03-21T00:00:00"/>
    <d v="2025-03-28T00:00:00"/>
    <x v="3"/>
  </r>
  <r>
    <x v="36"/>
    <x v="1"/>
    <x v="3"/>
    <n v="7"/>
    <n v="301.01"/>
    <x v="0"/>
    <x v="1"/>
    <x v="2"/>
    <x v="4"/>
    <n v="1791.0094999999999"/>
    <x v="4"/>
    <x v="1"/>
    <n v="1"/>
    <s v="REG100037"/>
    <s v="Cust 3787"/>
    <n v="34.97"/>
    <d v="2025-06-20T00:00:00"/>
    <d v="2025-06-30T00:00:00"/>
    <x v="1"/>
  </r>
  <r>
    <x v="37"/>
    <x v="3"/>
    <x v="6"/>
    <n v="14"/>
    <n v="428.13"/>
    <x v="2"/>
    <x v="1"/>
    <x v="1"/>
    <x v="5"/>
    <n v="5394.4380000000001"/>
    <x v="4"/>
    <x v="3"/>
    <n v="1"/>
    <s v="REG100038"/>
    <s v="Cust 2469"/>
    <n v="24.77"/>
    <d v="2024-02-15T00:00:00"/>
    <d v="2024-02-25T00:00:00"/>
    <x v="3"/>
  </r>
  <r>
    <x v="38"/>
    <x v="3"/>
    <x v="0"/>
    <n v="2"/>
    <n v="503.28"/>
    <x v="3"/>
    <x v="1"/>
    <x v="2"/>
    <x v="1"/>
    <n v="855.57599999999991"/>
    <x v="1"/>
    <x v="3"/>
    <n v="0"/>
    <s v="REG100039"/>
    <s v="Cust 6468"/>
    <n v="34.79"/>
    <d v="2023-06-09T00:00:00"/>
    <d v="2023-06-17T00:00:00"/>
    <x v="3"/>
  </r>
  <r>
    <x v="39"/>
    <x v="1"/>
    <x v="6"/>
    <n v="5"/>
    <n v="470.32"/>
    <x v="1"/>
    <x v="1"/>
    <x v="1"/>
    <x v="0"/>
    <n v="2116.44"/>
    <x v="3"/>
    <x v="1"/>
    <n v="0"/>
    <s v="REG100040"/>
    <s v="Cust 5312"/>
    <n v="17.77"/>
    <d v="2023-08-10T00:00:00"/>
    <d v="2023-08-14T00:00:00"/>
    <x v="1"/>
  </r>
  <r>
    <x v="40"/>
    <x v="3"/>
    <x v="6"/>
    <n v="20"/>
    <n v="65.17"/>
    <x v="2"/>
    <x v="0"/>
    <x v="3"/>
    <x v="0"/>
    <n v="1238.23"/>
    <x v="1"/>
    <x v="0"/>
    <n v="0"/>
    <s v="REG100041"/>
    <s v="Cust 1482"/>
    <n v="21.72"/>
    <d v="2024-06-16T00:00:00"/>
    <d v="2024-06-25T00:00:00"/>
    <x v="3"/>
  </r>
  <r>
    <x v="41"/>
    <x v="1"/>
    <x v="0"/>
    <n v="12"/>
    <n v="36.17"/>
    <x v="1"/>
    <x v="1"/>
    <x v="0"/>
    <x v="0"/>
    <n v="434.04"/>
    <x v="0"/>
    <x v="2"/>
    <n v="0"/>
    <s v="REG100042"/>
    <s v="Cust 7903"/>
    <n v="34.85"/>
    <d v="2023-07-23T00:00:00"/>
    <d v="2023-07-26T00:00:00"/>
    <x v="1"/>
  </r>
  <r>
    <x v="42"/>
    <x v="3"/>
    <x v="6"/>
    <n v="4"/>
    <n v="459.31"/>
    <x v="3"/>
    <x v="0"/>
    <x v="2"/>
    <x v="3"/>
    <n v="1561.654"/>
    <x v="1"/>
    <x v="2"/>
    <n v="1"/>
    <s v="REG100043"/>
    <s v="Cust 9605"/>
    <n v="27.39"/>
    <d v="2023-05-20T00:00:00"/>
    <d v="2023-05-27T00:00:00"/>
    <x v="3"/>
  </r>
  <r>
    <x v="43"/>
    <x v="1"/>
    <x v="0"/>
    <n v="2"/>
    <n v="416.06"/>
    <x v="3"/>
    <x v="1"/>
    <x v="3"/>
    <x v="0"/>
    <n v="790.51400000000001"/>
    <x v="3"/>
    <x v="1"/>
    <n v="0"/>
    <s v="REG100044"/>
    <s v="Cust 3298"/>
    <n v="11.62"/>
    <d v="2023-06-30T00:00:00"/>
    <d v="2023-07-04T00:00:00"/>
    <x v="1"/>
  </r>
  <r>
    <x v="44"/>
    <x v="1"/>
    <x v="5"/>
    <n v="16"/>
    <n v="302.58"/>
    <x v="3"/>
    <x v="1"/>
    <x v="0"/>
    <x v="1"/>
    <n v="4841.28"/>
    <x v="0"/>
    <x v="2"/>
    <n v="1"/>
    <s v="REG100045"/>
    <s v="Cust 5533"/>
    <n v="20.76"/>
    <d v="2024-06-04T00:00:00"/>
    <d v="2024-06-14T00:00:00"/>
    <x v="1"/>
  </r>
  <r>
    <x v="45"/>
    <x v="4"/>
    <x v="3"/>
    <n v="11"/>
    <n v="33.130000000000003"/>
    <x v="1"/>
    <x v="1"/>
    <x v="2"/>
    <x v="2"/>
    <n v="309.76549999999997"/>
    <x v="0"/>
    <x v="0"/>
    <n v="0"/>
    <s v="REG100046"/>
    <s v="Cust 6362"/>
    <n v="24.95"/>
    <d v="2025-02-03T00:00:00"/>
    <d v="2025-02-05T00:00:00"/>
    <x v="4"/>
  </r>
  <r>
    <x v="46"/>
    <x v="0"/>
    <x v="5"/>
    <n v="8"/>
    <n v="582.52"/>
    <x v="3"/>
    <x v="1"/>
    <x v="2"/>
    <x v="2"/>
    <n v="3961.136"/>
    <x v="1"/>
    <x v="2"/>
    <n v="0"/>
    <s v="REG100047"/>
    <s v="Cust 4826"/>
    <n v="6.47"/>
    <d v="2024-01-09T00:00:00"/>
    <d v="2024-01-13T00:00:00"/>
    <x v="0"/>
  </r>
  <r>
    <x v="47"/>
    <x v="2"/>
    <x v="2"/>
    <n v="5"/>
    <n v="165.15"/>
    <x v="1"/>
    <x v="1"/>
    <x v="1"/>
    <x v="0"/>
    <n v="743.17500000000007"/>
    <x v="1"/>
    <x v="3"/>
    <n v="0"/>
    <s v="REG100048"/>
    <s v="Cust 2171"/>
    <n v="20.57"/>
    <d v="2024-03-14T00:00:00"/>
    <d v="2024-03-16T00:00:00"/>
    <x v="2"/>
  </r>
  <r>
    <x v="48"/>
    <x v="4"/>
    <x v="4"/>
    <n v="14"/>
    <n v="242.82"/>
    <x v="3"/>
    <x v="0"/>
    <x v="2"/>
    <x v="1"/>
    <n v="2889.558"/>
    <x v="4"/>
    <x v="2"/>
    <n v="1"/>
    <s v="REG100049"/>
    <s v="Cust 4005"/>
    <n v="20.71"/>
    <d v="2024-09-06T00:00:00"/>
    <d v="2024-09-13T00:00:00"/>
    <x v="4"/>
  </r>
  <r>
    <x v="49"/>
    <x v="0"/>
    <x v="4"/>
    <n v="13"/>
    <n v="65.989999999999995"/>
    <x v="1"/>
    <x v="0"/>
    <x v="1"/>
    <x v="2"/>
    <n v="772.08299999999997"/>
    <x v="4"/>
    <x v="2"/>
    <n v="0"/>
    <s v="REG100050"/>
    <s v="Cust 7032"/>
    <n v="12.87"/>
    <d v="2023-03-17T00:00:00"/>
    <d v="2023-03-20T00:00:00"/>
    <x v="0"/>
  </r>
  <r>
    <x v="50"/>
    <x v="4"/>
    <x v="3"/>
    <n v="2"/>
    <n v="251.69"/>
    <x v="2"/>
    <x v="0"/>
    <x v="0"/>
    <x v="1"/>
    <n v="503.38"/>
    <x v="3"/>
    <x v="0"/>
    <n v="0"/>
    <s v="REG100051"/>
    <s v="Cust 7167"/>
    <n v="42.49"/>
    <d v="2025-01-17T00:00:00"/>
    <d v="2025-01-24T00:00:00"/>
    <x v="4"/>
  </r>
  <r>
    <x v="51"/>
    <x v="1"/>
    <x v="0"/>
    <n v="1"/>
    <n v="269.41000000000003"/>
    <x v="0"/>
    <x v="0"/>
    <x v="1"/>
    <x v="0"/>
    <n v="242.46899999999999"/>
    <x v="4"/>
    <x v="2"/>
    <n v="1"/>
    <s v="REG100052"/>
    <s v="Cust 5702"/>
    <n v="19.22"/>
    <d v="2024-09-12T00:00:00"/>
    <d v="2024-09-18T00:00:00"/>
    <x v="1"/>
  </r>
  <r>
    <x v="52"/>
    <x v="1"/>
    <x v="4"/>
    <n v="2"/>
    <n v="371.3"/>
    <x v="0"/>
    <x v="0"/>
    <x v="3"/>
    <x v="5"/>
    <n v="705.47"/>
    <x v="2"/>
    <x v="1"/>
    <n v="0"/>
    <s v="REG100053"/>
    <s v="Cust 4944"/>
    <n v="36.51"/>
    <d v="2024-01-05T00:00:00"/>
    <d v="2024-01-15T00:00:00"/>
    <x v="1"/>
  </r>
  <r>
    <x v="53"/>
    <x v="4"/>
    <x v="5"/>
    <n v="11"/>
    <n v="288.24"/>
    <x v="1"/>
    <x v="0"/>
    <x v="2"/>
    <x v="4"/>
    <n v="2695.0439999999999"/>
    <x v="0"/>
    <x v="3"/>
    <n v="0"/>
    <s v="REG100054"/>
    <s v="Cust 8149"/>
    <n v="37.39"/>
    <d v="2024-04-19T00:00:00"/>
    <d v="2024-04-25T00:00:00"/>
    <x v="4"/>
  </r>
  <r>
    <x v="54"/>
    <x v="3"/>
    <x v="5"/>
    <n v="11"/>
    <n v="232.75"/>
    <x v="3"/>
    <x v="0"/>
    <x v="3"/>
    <x v="0"/>
    <n v="2432.2375000000002"/>
    <x v="2"/>
    <x v="1"/>
    <n v="0"/>
    <s v="REG100055"/>
    <s v="Cust 3638"/>
    <n v="36.33"/>
    <d v="2025-06-11T00:00:00"/>
    <d v="2025-06-21T00:00:00"/>
    <x v="3"/>
  </r>
  <r>
    <x v="55"/>
    <x v="0"/>
    <x v="1"/>
    <n v="17"/>
    <n v="146.28"/>
    <x v="0"/>
    <x v="1"/>
    <x v="2"/>
    <x v="3"/>
    <n v="2113.7460000000001"/>
    <x v="4"/>
    <x v="1"/>
    <n v="0"/>
    <s v="REG100056"/>
    <s v="Cust 9973"/>
    <n v="7.84"/>
    <d v="2025-03-06T00:00:00"/>
    <d v="2025-03-15T00:00:00"/>
    <x v="0"/>
  </r>
  <r>
    <x v="56"/>
    <x v="0"/>
    <x v="3"/>
    <n v="5"/>
    <n v="100.38"/>
    <x v="2"/>
    <x v="1"/>
    <x v="1"/>
    <x v="0"/>
    <n v="451.71"/>
    <x v="1"/>
    <x v="2"/>
    <n v="1"/>
    <s v="REG100057"/>
    <s v="Cust 4214"/>
    <n v="18.350000000000001"/>
    <d v="2023-05-24T00:00:00"/>
    <d v="2023-05-26T00:00:00"/>
    <x v="0"/>
  </r>
  <r>
    <x v="57"/>
    <x v="1"/>
    <x v="1"/>
    <n v="11"/>
    <n v="375.48"/>
    <x v="0"/>
    <x v="1"/>
    <x v="3"/>
    <x v="5"/>
    <n v="3923.766000000001"/>
    <x v="3"/>
    <x v="2"/>
    <n v="0"/>
    <s v="REG100058"/>
    <s v="Cust 2647"/>
    <n v="15.95"/>
    <d v="2023-01-27T00:00:00"/>
    <d v="2023-02-03T00:00:00"/>
    <x v="1"/>
  </r>
  <r>
    <x v="58"/>
    <x v="1"/>
    <x v="0"/>
    <n v="18"/>
    <n v="316.89"/>
    <x v="0"/>
    <x v="0"/>
    <x v="3"/>
    <x v="5"/>
    <n v="5418.8190000000004"/>
    <x v="4"/>
    <x v="0"/>
    <n v="0"/>
    <s v="REG100059"/>
    <s v="Cust 3552"/>
    <n v="15.69"/>
    <d v="2024-03-21T00:00:00"/>
    <d v="2024-03-27T00:00:00"/>
    <x v="1"/>
  </r>
  <r>
    <x v="59"/>
    <x v="4"/>
    <x v="0"/>
    <n v="20"/>
    <n v="295.06"/>
    <x v="3"/>
    <x v="1"/>
    <x v="2"/>
    <x v="2"/>
    <n v="5016.0200000000004"/>
    <x v="0"/>
    <x v="1"/>
    <n v="1"/>
    <s v="REG100060"/>
    <s v="Cust 3354"/>
    <n v="13.66"/>
    <d v="2025-01-25T00:00:00"/>
    <d v="2025-01-31T00:00:00"/>
    <x v="4"/>
  </r>
  <r>
    <x v="60"/>
    <x v="3"/>
    <x v="1"/>
    <n v="8"/>
    <n v="301.68"/>
    <x v="3"/>
    <x v="1"/>
    <x v="0"/>
    <x v="0"/>
    <n v="2413.44"/>
    <x v="4"/>
    <x v="1"/>
    <n v="0"/>
    <s v="REG100061"/>
    <s v="Cust 3903"/>
    <n v="36.54"/>
    <d v="2023-06-12T00:00:00"/>
    <d v="2023-06-21T00:00:00"/>
    <x v="3"/>
  </r>
  <r>
    <x v="61"/>
    <x v="3"/>
    <x v="3"/>
    <n v="3"/>
    <n v="475.39"/>
    <x v="0"/>
    <x v="1"/>
    <x v="1"/>
    <x v="1"/>
    <n v="1283.5530000000001"/>
    <x v="1"/>
    <x v="3"/>
    <n v="0"/>
    <s v="REG100062"/>
    <s v="Cust 5358"/>
    <n v="15.62"/>
    <d v="2025-03-22T00:00:00"/>
    <d v="2025-03-26T00:00:00"/>
    <x v="3"/>
  </r>
  <r>
    <x v="62"/>
    <x v="3"/>
    <x v="2"/>
    <n v="16"/>
    <n v="47.25"/>
    <x v="3"/>
    <x v="1"/>
    <x v="2"/>
    <x v="5"/>
    <n v="642.6"/>
    <x v="3"/>
    <x v="0"/>
    <n v="0"/>
    <s v="REG100063"/>
    <s v="Cust 8144"/>
    <n v="29.5"/>
    <d v="2024-02-24T00:00:00"/>
    <d v="2024-02-27T00:00:00"/>
    <x v="3"/>
  </r>
  <r>
    <x v="63"/>
    <x v="1"/>
    <x v="3"/>
    <n v="15"/>
    <n v="511.17"/>
    <x v="0"/>
    <x v="0"/>
    <x v="0"/>
    <x v="2"/>
    <n v="7667.55"/>
    <x v="0"/>
    <x v="0"/>
    <n v="0"/>
    <s v="REG100064"/>
    <s v="Cust 6747"/>
    <n v="21.77"/>
    <d v="2023-12-09T00:00:00"/>
    <d v="2023-12-12T00:00:00"/>
    <x v="1"/>
  </r>
  <r>
    <x v="64"/>
    <x v="3"/>
    <x v="4"/>
    <n v="3"/>
    <n v="66.58"/>
    <x v="0"/>
    <x v="1"/>
    <x v="1"/>
    <x v="2"/>
    <n v="179.76599999999999"/>
    <x v="3"/>
    <x v="0"/>
    <n v="0"/>
    <s v="REG100065"/>
    <s v="Cust 8330"/>
    <n v="22.43"/>
    <d v="2023-10-01T00:00:00"/>
    <d v="2023-10-05T00:00:00"/>
    <x v="3"/>
  </r>
  <r>
    <x v="65"/>
    <x v="4"/>
    <x v="5"/>
    <n v="5"/>
    <n v="490.52"/>
    <x v="3"/>
    <x v="0"/>
    <x v="3"/>
    <x v="2"/>
    <n v="2329.9699999999998"/>
    <x v="0"/>
    <x v="3"/>
    <n v="0"/>
    <s v="REG100066"/>
    <s v="Cust 7186"/>
    <n v="12.24"/>
    <d v="2023-07-31T00:00:00"/>
    <d v="2023-08-07T00:00:00"/>
    <x v="4"/>
  </r>
  <r>
    <x v="66"/>
    <x v="1"/>
    <x v="3"/>
    <n v="8"/>
    <n v="405.96"/>
    <x v="1"/>
    <x v="0"/>
    <x v="3"/>
    <x v="3"/>
    <n v="3085.2959999999998"/>
    <x v="2"/>
    <x v="2"/>
    <n v="0"/>
    <s v="REG100067"/>
    <s v="Cust 8287"/>
    <n v="41.27"/>
    <d v="2024-12-24T00:00:00"/>
    <d v="2024-12-31T00:00:00"/>
    <x v="1"/>
  </r>
  <r>
    <x v="67"/>
    <x v="2"/>
    <x v="1"/>
    <n v="1"/>
    <n v="159.41"/>
    <x v="0"/>
    <x v="1"/>
    <x v="1"/>
    <x v="5"/>
    <n v="143.46899999999999"/>
    <x v="2"/>
    <x v="0"/>
    <n v="0"/>
    <s v="REG100068"/>
    <s v="Cust 3986"/>
    <n v="35.14"/>
    <d v="2024-11-15T00:00:00"/>
    <d v="2024-11-19T00:00:00"/>
    <x v="2"/>
  </r>
  <r>
    <x v="68"/>
    <x v="4"/>
    <x v="4"/>
    <n v="16"/>
    <n v="38.49"/>
    <x v="2"/>
    <x v="1"/>
    <x v="2"/>
    <x v="3"/>
    <n v="523.46400000000006"/>
    <x v="3"/>
    <x v="1"/>
    <n v="0"/>
    <s v="REG100069"/>
    <s v="Cust 3213"/>
    <n v="8.3800000000000008"/>
    <d v="2025-03-13T00:00:00"/>
    <d v="2025-03-22T00:00:00"/>
    <x v="4"/>
  </r>
  <r>
    <x v="69"/>
    <x v="0"/>
    <x v="5"/>
    <n v="15"/>
    <n v="328.36"/>
    <x v="3"/>
    <x v="1"/>
    <x v="2"/>
    <x v="1"/>
    <n v="4186.59"/>
    <x v="1"/>
    <x v="2"/>
    <n v="0"/>
    <s v="REG100070"/>
    <s v="Cust 1907"/>
    <n v="15.76"/>
    <d v="2024-03-03T00:00:00"/>
    <d v="2024-03-12T00:00:00"/>
    <x v="0"/>
  </r>
  <r>
    <x v="70"/>
    <x v="3"/>
    <x v="5"/>
    <n v="20"/>
    <n v="548.01"/>
    <x v="1"/>
    <x v="0"/>
    <x v="1"/>
    <x v="0"/>
    <n v="9864.18"/>
    <x v="2"/>
    <x v="2"/>
    <n v="1"/>
    <s v="REG100071"/>
    <s v="Cust 4639"/>
    <n v="5.89"/>
    <d v="2023-02-11T00:00:00"/>
    <d v="2023-02-14T00:00:00"/>
    <x v="3"/>
  </r>
  <r>
    <x v="71"/>
    <x v="1"/>
    <x v="2"/>
    <n v="13"/>
    <n v="484.45"/>
    <x v="0"/>
    <x v="0"/>
    <x v="3"/>
    <x v="3"/>
    <n v="5982.9575000000004"/>
    <x v="1"/>
    <x v="2"/>
    <n v="1"/>
    <s v="REG100072"/>
    <s v="Cust 4153"/>
    <n v="6.57"/>
    <d v="2023-10-26T00:00:00"/>
    <d v="2023-11-05T00:00:00"/>
    <x v="1"/>
  </r>
  <r>
    <x v="72"/>
    <x v="1"/>
    <x v="4"/>
    <n v="13"/>
    <n v="195.84"/>
    <x v="1"/>
    <x v="0"/>
    <x v="3"/>
    <x v="1"/>
    <n v="2418.6239999999998"/>
    <x v="2"/>
    <x v="3"/>
    <n v="0"/>
    <s v="REG100073"/>
    <s v="Cust 7096"/>
    <n v="33.520000000000003"/>
    <d v="2023-10-21T00:00:00"/>
    <d v="2023-10-28T00:00:00"/>
    <x v="1"/>
  </r>
  <r>
    <x v="73"/>
    <x v="3"/>
    <x v="5"/>
    <n v="19"/>
    <n v="29.94"/>
    <x v="3"/>
    <x v="1"/>
    <x v="2"/>
    <x v="4"/>
    <n v="483.53100000000001"/>
    <x v="3"/>
    <x v="0"/>
    <n v="0"/>
    <s v="REG100074"/>
    <s v="Cust 3806"/>
    <n v="33.590000000000003"/>
    <d v="2024-01-14T00:00:00"/>
    <d v="2024-01-20T00:00:00"/>
    <x v="3"/>
  </r>
  <r>
    <x v="74"/>
    <x v="3"/>
    <x v="2"/>
    <n v="10"/>
    <n v="553.91"/>
    <x v="3"/>
    <x v="0"/>
    <x v="1"/>
    <x v="0"/>
    <n v="4985.1899999999996"/>
    <x v="0"/>
    <x v="3"/>
    <n v="0"/>
    <s v="REG100075"/>
    <s v="Cust 9345"/>
    <n v="31.3"/>
    <d v="2023-07-27T00:00:00"/>
    <d v="2023-07-31T00:00:00"/>
    <x v="3"/>
  </r>
  <r>
    <x v="75"/>
    <x v="1"/>
    <x v="1"/>
    <n v="14"/>
    <n v="445.52"/>
    <x v="0"/>
    <x v="1"/>
    <x v="1"/>
    <x v="5"/>
    <n v="5613.5519999999997"/>
    <x v="0"/>
    <x v="1"/>
    <n v="0"/>
    <s v="REG100076"/>
    <s v="Cust 4456"/>
    <n v="14.41"/>
    <d v="2024-10-23T00:00:00"/>
    <d v="2024-10-25T00:00:00"/>
    <x v="1"/>
  </r>
  <r>
    <x v="76"/>
    <x v="1"/>
    <x v="3"/>
    <n v="5"/>
    <n v="551.58000000000004"/>
    <x v="0"/>
    <x v="1"/>
    <x v="2"/>
    <x v="1"/>
    <n v="2344.2150000000001"/>
    <x v="0"/>
    <x v="2"/>
    <n v="1"/>
    <s v="REG100077"/>
    <s v="Cust 1089"/>
    <n v="7.87"/>
    <d v="2023-09-26T00:00:00"/>
    <d v="2023-10-01T00:00:00"/>
    <x v="1"/>
  </r>
  <r>
    <x v="77"/>
    <x v="0"/>
    <x v="1"/>
    <n v="13"/>
    <n v="241.4"/>
    <x v="3"/>
    <x v="1"/>
    <x v="0"/>
    <x v="3"/>
    <n v="3138.2"/>
    <x v="1"/>
    <x v="1"/>
    <n v="0"/>
    <s v="REG100078"/>
    <s v="Cust 7230"/>
    <n v="49.05"/>
    <d v="2023-12-16T00:00:00"/>
    <d v="2023-12-20T00:00:00"/>
    <x v="0"/>
  </r>
  <r>
    <x v="78"/>
    <x v="3"/>
    <x v="6"/>
    <n v="19"/>
    <n v="351.93"/>
    <x v="1"/>
    <x v="0"/>
    <x v="0"/>
    <x v="1"/>
    <n v="6686.67"/>
    <x v="2"/>
    <x v="3"/>
    <n v="0"/>
    <s v="REG100079"/>
    <s v="Cust 6597"/>
    <n v="39.979999999999997"/>
    <d v="2024-01-02T00:00:00"/>
    <d v="2024-01-05T00:00:00"/>
    <x v="3"/>
  </r>
  <r>
    <x v="79"/>
    <x v="2"/>
    <x v="1"/>
    <n v="4"/>
    <n v="83.75"/>
    <x v="1"/>
    <x v="1"/>
    <x v="3"/>
    <x v="1"/>
    <n v="318.25"/>
    <x v="3"/>
    <x v="1"/>
    <n v="1"/>
    <s v="REG100080"/>
    <s v="Cust 4108"/>
    <n v="38.82"/>
    <d v="2024-02-16T00:00:00"/>
    <d v="2024-02-25T00:00:00"/>
    <x v="2"/>
  </r>
  <r>
    <x v="80"/>
    <x v="0"/>
    <x v="4"/>
    <n v="5"/>
    <n v="416.95"/>
    <x v="1"/>
    <x v="0"/>
    <x v="2"/>
    <x v="2"/>
    <n v="1772.0374999999999"/>
    <x v="0"/>
    <x v="3"/>
    <n v="1"/>
    <s v="REG100081"/>
    <s v="Cust 2883"/>
    <n v="24.03"/>
    <d v="2024-05-03T00:00:00"/>
    <d v="2024-05-12T00:00:00"/>
    <x v="0"/>
  </r>
  <r>
    <x v="81"/>
    <x v="4"/>
    <x v="4"/>
    <n v="18"/>
    <n v="142.43"/>
    <x v="2"/>
    <x v="1"/>
    <x v="3"/>
    <x v="5"/>
    <n v="2435.5529999999999"/>
    <x v="2"/>
    <x v="1"/>
    <n v="1"/>
    <s v="REG100082"/>
    <s v="Cust 5018"/>
    <n v="12.38"/>
    <d v="2023-05-27T00:00:00"/>
    <d v="2023-06-02T00:00:00"/>
    <x v="4"/>
  </r>
  <r>
    <x v="82"/>
    <x v="0"/>
    <x v="2"/>
    <n v="12"/>
    <n v="582.52"/>
    <x v="1"/>
    <x v="0"/>
    <x v="0"/>
    <x v="5"/>
    <n v="6990.24"/>
    <x v="2"/>
    <x v="0"/>
    <n v="0"/>
    <s v="REG100083"/>
    <s v="Cust 1231"/>
    <n v="41.16"/>
    <d v="2023-01-05T00:00:00"/>
    <d v="2023-01-11T00:00:00"/>
    <x v="0"/>
  </r>
  <r>
    <x v="83"/>
    <x v="0"/>
    <x v="3"/>
    <n v="20"/>
    <n v="129.56"/>
    <x v="1"/>
    <x v="1"/>
    <x v="2"/>
    <x v="4"/>
    <n v="2202.52"/>
    <x v="0"/>
    <x v="2"/>
    <n v="0"/>
    <s v="REG100084"/>
    <s v="Cust 2209"/>
    <n v="40.21"/>
    <d v="2025-05-21T00:00:00"/>
    <d v="2025-05-23T00:00:00"/>
    <x v="0"/>
  </r>
  <r>
    <x v="12"/>
    <x v="3"/>
    <x v="5"/>
    <n v="17"/>
    <n v="431.82"/>
    <x v="0"/>
    <x v="1"/>
    <x v="0"/>
    <x v="0"/>
    <n v="7340.94"/>
    <x v="1"/>
    <x v="0"/>
    <n v="1"/>
    <s v="REG100085"/>
    <s v="Cust 6684"/>
    <n v="37.75"/>
    <d v="2023-07-21T00:00:00"/>
    <d v="2023-07-25T00:00:00"/>
    <x v="3"/>
  </r>
  <r>
    <x v="84"/>
    <x v="0"/>
    <x v="0"/>
    <n v="15"/>
    <n v="15.85"/>
    <x v="2"/>
    <x v="1"/>
    <x v="0"/>
    <x v="5"/>
    <n v="237.75"/>
    <x v="3"/>
    <x v="2"/>
    <n v="0"/>
    <s v="REG100086"/>
    <s v="Cust 5289"/>
    <n v="23.49"/>
    <d v="2025-05-25T00:00:00"/>
    <d v="2025-06-03T00:00:00"/>
    <x v="0"/>
  </r>
  <r>
    <x v="85"/>
    <x v="1"/>
    <x v="5"/>
    <n v="20"/>
    <n v="548.34"/>
    <x v="0"/>
    <x v="1"/>
    <x v="1"/>
    <x v="5"/>
    <n v="9870.1200000000008"/>
    <x v="1"/>
    <x v="2"/>
    <n v="0"/>
    <s v="REG100087"/>
    <s v="Cust 9159"/>
    <n v="33.47"/>
    <d v="2024-11-16T00:00:00"/>
    <d v="2024-11-22T00:00:00"/>
    <x v="1"/>
  </r>
  <r>
    <x v="86"/>
    <x v="2"/>
    <x v="0"/>
    <n v="16"/>
    <n v="525.83000000000004"/>
    <x v="2"/>
    <x v="0"/>
    <x v="3"/>
    <x v="2"/>
    <n v="7992.616"/>
    <x v="0"/>
    <x v="3"/>
    <n v="0"/>
    <s v="REG100088"/>
    <s v="Cust 4844"/>
    <n v="36.47"/>
    <d v="2023-11-19T00:00:00"/>
    <d v="2023-11-25T00:00:00"/>
    <x v="2"/>
  </r>
  <r>
    <x v="87"/>
    <x v="3"/>
    <x v="0"/>
    <n v="15"/>
    <n v="411.38"/>
    <x v="1"/>
    <x v="0"/>
    <x v="3"/>
    <x v="5"/>
    <n v="5862.165"/>
    <x v="0"/>
    <x v="1"/>
    <n v="0"/>
    <s v="REG100089"/>
    <s v="Cust 3273"/>
    <n v="48.51"/>
    <d v="2025-01-12T00:00:00"/>
    <d v="2025-01-21T00:00:00"/>
    <x v="3"/>
  </r>
  <r>
    <x v="88"/>
    <x v="2"/>
    <x v="4"/>
    <n v="19"/>
    <n v="559.95000000000005"/>
    <x v="1"/>
    <x v="0"/>
    <x v="1"/>
    <x v="3"/>
    <n v="9575.1450000000004"/>
    <x v="2"/>
    <x v="2"/>
    <n v="0"/>
    <s v="REG100090"/>
    <s v="Cust 8160"/>
    <n v="18.3"/>
    <d v="2023-03-29T00:00:00"/>
    <d v="2023-04-03T00:00:00"/>
    <x v="2"/>
  </r>
  <r>
    <x v="89"/>
    <x v="2"/>
    <x v="2"/>
    <n v="8"/>
    <n v="179.9"/>
    <x v="2"/>
    <x v="1"/>
    <x v="3"/>
    <x v="3"/>
    <n v="1367.24"/>
    <x v="0"/>
    <x v="1"/>
    <n v="0"/>
    <s v="REG100091"/>
    <s v="Cust 4439"/>
    <n v="14.8"/>
    <d v="2025-03-01T00:00:00"/>
    <d v="2025-03-05T00:00:00"/>
    <x v="2"/>
  </r>
  <r>
    <x v="90"/>
    <x v="2"/>
    <x v="3"/>
    <n v="12"/>
    <n v="494.15"/>
    <x v="0"/>
    <x v="0"/>
    <x v="2"/>
    <x v="4"/>
    <n v="5040.329999999999"/>
    <x v="0"/>
    <x v="1"/>
    <n v="1"/>
    <s v="REG100092"/>
    <s v="Cust 1127"/>
    <n v="18.05"/>
    <d v="2023-10-18T00:00:00"/>
    <d v="2023-10-20T00:00:00"/>
    <x v="2"/>
  </r>
  <r>
    <x v="91"/>
    <x v="0"/>
    <x v="2"/>
    <n v="10"/>
    <n v="462.99"/>
    <x v="2"/>
    <x v="0"/>
    <x v="0"/>
    <x v="5"/>
    <n v="4629.8999999999996"/>
    <x v="2"/>
    <x v="2"/>
    <n v="0"/>
    <s v="REG100093"/>
    <s v="Cust 4696"/>
    <n v="5.01"/>
    <d v="2025-04-13T00:00:00"/>
    <d v="2025-04-15T00:00:00"/>
    <x v="0"/>
  </r>
  <r>
    <x v="92"/>
    <x v="3"/>
    <x v="0"/>
    <n v="7"/>
    <n v="460.24"/>
    <x v="1"/>
    <x v="1"/>
    <x v="3"/>
    <x v="1"/>
    <n v="3060.596"/>
    <x v="4"/>
    <x v="1"/>
    <n v="1"/>
    <s v="REG100094"/>
    <s v="Cust 3014"/>
    <n v="11.54"/>
    <d v="2025-05-13T00:00:00"/>
    <d v="2025-05-23T00:00:00"/>
    <x v="3"/>
  </r>
  <r>
    <x v="93"/>
    <x v="4"/>
    <x v="6"/>
    <n v="17"/>
    <n v="309.52"/>
    <x v="0"/>
    <x v="0"/>
    <x v="3"/>
    <x v="0"/>
    <n v="4998.7479999999996"/>
    <x v="0"/>
    <x v="0"/>
    <n v="0"/>
    <s v="REG100095"/>
    <s v="Cust 2539"/>
    <n v="6.11"/>
    <d v="2024-04-21T00:00:00"/>
    <d v="2024-04-27T00:00:00"/>
    <x v="4"/>
  </r>
  <r>
    <x v="94"/>
    <x v="3"/>
    <x v="4"/>
    <n v="1"/>
    <n v="323.83"/>
    <x v="0"/>
    <x v="0"/>
    <x v="3"/>
    <x v="0"/>
    <n v="307.63850000000002"/>
    <x v="2"/>
    <x v="2"/>
    <n v="0"/>
    <s v="REG100096"/>
    <s v="Cust 3916"/>
    <n v="27.48"/>
    <d v="2025-01-31T00:00:00"/>
    <d v="2025-02-08T00:00:00"/>
    <x v="3"/>
  </r>
  <r>
    <x v="95"/>
    <x v="3"/>
    <x v="3"/>
    <n v="10"/>
    <n v="503.07"/>
    <x v="2"/>
    <x v="1"/>
    <x v="0"/>
    <x v="5"/>
    <n v="5030.7"/>
    <x v="2"/>
    <x v="0"/>
    <n v="0"/>
    <s v="REG100097"/>
    <s v="Cust 6329"/>
    <n v="44.61"/>
    <d v="2025-03-14T00:00:00"/>
    <d v="2025-03-19T00:00:00"/>
    <x v="3"/>
  </r>
  <r>
    <x v="96"/>
    <x v="4"/>
    <x v="0"/>
    <n v="20"/>
    <n v="491.68"/>
    <x v="3"/>
    <x v="0"/>
    <x v="2"/>
    <x v="1"/>
    <n v="8358.56"/>
    <x v="0"/>
    <x v="1"/>
    <n v="1"/>
    <s v="REG100098"/>
    <s v="Cust 4384"/>
    <n v="43.46"/>
    <d v="2024-05-26T00:00:00"/>
    <d v="2024-05-29T00:00:00"/>
    <x v="4"/>
  </r>
  <r>
    <x v="97"/>
    <x v="2"/>
    <x v="1"/>
    <n v="17"/>
    <n v="468.45"/>
    <x v="1"/>
    <x v="1"/>
    <x v="3"/>
    <x v="3"/>
    <n v="7565.4674999999997"/>
    <x v="2"/>
    <x v="0"/>
    <n v="0"/>
    <s v="REG100099"/>
    <s v="Cust 7756"/>
    <n v="17.88"/>
    <d v="2023-07-22T00:00:00"/>
    <d v="2023-07-26T00:00:00"/>
    <x v="2"/>
  </r>
  <r>
    <x v="58"/>
    <x v="2"/>
    <x v="0"/>
    <n v="11"/>
    <n v="401.76"/>
    <x v="3"/>
    <x v="1"/>
    <x v="2"/>
    <x v="2"/>
    <n v="3756.4560000000001"/>
    <x v="1"/>
    <x v="1"/>
    <n v="0"/>
    <s v="REG100100"/>
    <s v="Cust 6086"/>
    <n v="48.03"/>
    <d v="2024-03-21T00:00:00"/>
    <d v="2024-03-30T00:00:00"/>
    <x v="2"/>
  </r>
  <r>
    <x v="32"/>
    <x v="4"/>
    <x v="6"/>
    <n v="3"/>
    <n v="221"/>
    <x v="0"/>
    <x v="0"/>
    <x v="0"/>
    <x v="2"/>
    <n v="663"/>
    <x v="4"/>
    <x v="0"/>
    <n v="0"/>
    <s v="REG100101"/>
    <s v="Cust 3845"/>
    <n v="32.31"/>
    <d v="2023-04-05T00:00:00"/>
    <d v="2023-04-08T00:00:00"/>
    <x v="4"/>
  </r>
  <r>
    <x v="98"/>
    <x v="0"/>
    <x v="4"/>
    <n v="6"/>
    <n v="188.45"/>
    <x v="2"/>
    <x v="0"/>
    <x v="3"/>
    <x v="1"/>
    <n v="1074.165"/>
    <x v="1"/>
    <x v="3"/>
    <n v="0"/>
    <s v="REG100102"/>
    <s v="Cust 9996"/>
    <n v="6.77"/>
    <d v="2024-08-26T00:00:00"/>
    <d v="2024-09-01T00:00:00"/>
    <x v="0"/>
  </r>
  <r>
    <x v="99"/>
    <x v="2"/>
    <x v="2"/>
    <n v="3"/>
    <n v="566.20000000000005"/>
    <x v="3"/>
    <x v="1"/>
    <x v="0"/>
    <x v="5"/>
    <n v="1698.6"/>
    <x v="1"/>
    <x v="0"/>
    <n v="1"/>
    <s v="REG100103"/>
    <s v="Cust 1711"/>
    <n v="28.97"/>
    <d v="2024-07-07T00:00:00"/>
    <d v="2024-07-17T00:00:00"/>
    <x v="2"/>
  </r>
  <r>
    <x v="100"/>
    <x v="0"/>
    <x v="4"/>
    <n v="14"/>
    <n v="167.09"/>
    <x v="3"/>
    <x v="1"/>
    <x v="3"/>
    <x v="1"/>
    <n v="2222.297"/>
    <x v="1"/>
    <x v="1"/>
    <n v="1"/>
    <s v="REG100104"/>
    <s v="Cust 4522"/>
    <n v="47.05"/>
    <d v="2023-09-29T00:00:00"/>
    <d v="2023-10-08T00:00:00"/>
    <x v="0"/>
  </r>
  <r>
    <x v="101"/>
    <x v="4"/>
    <x v="4"/>
    <n v="16"/>
    <n v="36.159999999999997"/>
    <x v="2"/>
    <x v="0"/>
    <x v="1"/>
    <x v="3"/>
    <n v="520.70399999999995"/>
    <x v="3"/>
    <x v="0"/>
    <n v="0"/>
    <s v="REG100105"/>
    <s v="Cust 4233"/>
    <n v="26.64"/>
    <d v="2023-10-04T00:00:00"/>
    <d v="2023-10-11T00:00:00"/>
    <x v="4"/>
  </r>
  <r>
    <x v="102"/>
    <x v="3"/>
    <x v="6"/>
    <n v="2"/>
    <n v="73.94"/>
    <x v="0"/>
    <x v="0"/>
    <x v="3"/>
    <x v="3"/>
    <n v="140.48599999999999"/>
    <x v="3"/>
    <x v="1"/>
    <n v="0"/>
    <s v="REG100106"/>
    <s v="Cust 4121"/>
    <n v="28.05"/>
    <d v="2025-06-09T00:00:00"/>
    <d v="2025-06-16T00:00:00"/>
    <x v="3"/>
  </r>
  <r>
    <x v="103"/>
    <x v="0"/>
    <x v="6"/>
    <n v="16"/>
    <n v="459.49"/>
    <x v="1"/>
    <x v="0"/>
    <x v="1"/>
    <x v="0"/>
    <n v="6616.6559999999999"/>
    <x v="0"/>
    <x v="1"/>
    <n v="0"/>
    <s v="REG100107"/>
    <s v="Cust 9092"/>
    <n v="26.99"/>
    <d v="2025-06-12T00:00:00"/>
    <d v="2025-06-14T00:00:00"/>
    <x v="0"/>
  </r>
  <r>
    <x v="104"/>
    <x v="0"/>
    <x v="3"/>
    <n v="3"/>
    <n v="168.05"/>
    <x v="1"/>
    <x v="1"/>
    <x v="0"/>
    <x v="3"/>
    <n v="504.15"/>
    <x v="4"/>
    <x v="3"/>
    <n v="1"/>
    <s v="REG100108"/>
    <s v="Cust 9090"/>
    <n v="21.08"/>
    <d v="2024-06-29T00:00:00"/>
    <d v="2024-07-06T00:00:00"/>
    <x v="0"/>
  </r>
  <r>
    <x v="105"/>
    <x v="2"/>
    <x v="6"/>
    <n v="14"/>
    <n v="37.54"/>
    <x v="0"/>
    <x v="1"/>
    <x v="2"/>
    <x v="1"/>
    <n v="446.72599999999989"/>
    <x v="2"/>
    <x v="3"/>
    <n v="1"/>
    <s v="REG100109"/>
    <s v="Cust 1983"/>
    <n v="49.6"/>
    <d v="2024-03-23T00:00:00"/>
    <d v="2024-04-02T00:00:00"/>
    <x v="2"/>
  </r>
  <r>
    <x v="106"/>
    <x v="1"/>
    <x v="5"/>
    <n v="4"/>
    <n v="151.16"/>
    <x v="0"/>
    <x v="0"/>
    <x v="0"/>
    <x v="1"/>
    <n v="604.64"/>
    <x v="1"/>
    <x v="1"/>
    <n v="1"/>
    <s v="REG100110"/>
    <s v="Cust 8834"/>
    <n v="41.4"/>
    <d v="2024-07-14T00:00:00"/>
    <d v="2024-07-21T00:00:00"/>
    <x v="1"/>
  </r>
  <r>
    <x v="107"/>
    <x v="1"/>
    <x v="5"/>
    <n v="17"/>
    <n v="78.58"/>
    <x v="1"/>
    <x v="0"/>
    <x v="1"/>
    <x v="5"/>
    <n v="1202.2739999999999"/>
    <x v="1"/>
    <x v="2"/>
    <n v="0"/>
    <s v="REG100111"/>
    <s v="Cust 9780"/>
    <n v="8.02"/>
    <d v="2024-03-15T00:00:00"/>
    <d v="2024-03-25T00:00:00"/>
    <x v="1"/>
  </r>
  <r>
    <x v="108"/>
    <x v="3"/>
    <x v="3"/>
    <n v="15"/>
    <n v="37.33"/>
    <x v="0"/>
    <x v="1"/>
    <x v="3"/>
    <x v="3"/>
    <n v="531.95249999999987"/>
    <x v="4"/>
    <x v="3"/>
    <n v="1"/>
    <s v="REG100112"/>
    <s v="Cust 1293"/>
    <n v="43.69"/>
    <d v="2025-04-19T00:00:00"/>
    <d v="2025-04-24T00:00:00"/>
    <x v="3"/>
  </r>
  <r>
    <x v="37"/>
    <x v="4"/>
    <x v="5"/>
    <n v="18"/>
    <n v="537.02"/>
    <x v="1"/>
    <x v="0"/>
    <x v="2"/>
    <x v="3"/>
    <n v="8216.4060000000009"/>
    <x v="3"/>
    <x v="1"/>
    <n v="0"/>
    <s v="REG100113"/>
    <s v="Cust 3173"/>
    <n v="23.94"/>
    <d v="2024-02-15T00:00:00"/>
    <d v="2024-02-20T00:00:00"/>
    <x v="4"/>
  </r>
  <r>
    <x v="109"/>
    <x v="0"/>
    <x v="2"/>
    <n v="5"/>
    <n v="215.6"/>
    <x v="2"/>
    <x v="0"/>
    <x v="0"/>
    <x v="2"/>
    <n v="1078"/>
    <x v="0"/>
    <x v="2"/>
    <n v="0"/>
    <s v="REG100114"/>
    <s v="Cust 8641"/>
    <n v="28.36"/>
    <d v="2024-01-25T00:00:00"/>
    <d v="2024-02-04T00:00:00"/>
    <x v="0"/>
  </r>
  <r>
    <x v="110"/>
    <x v="3"/>
    <x v="0"/>
    <n v="18"/>
    <n v="209.5"/>
    <x v="3"/>
    <x v="0"/>
    <x v="0"/>
    <x v="3"/>
    <n v="3771"/>
    <x v="2"/>
    <x v="0"/>
    <n v="0"/>
    <s v="REG100115"/>
    <s v="Cust 7656"/>
    <n v="38.229999999999997"/>
    <d v="2025-04-15T00:00:00"/>
    <d v="2025-04-23T00:00:00"/>
    <x v="3"/>
  </r>
  <r>
    <x v="110"/>
    <x v="3"/>
    <x v="3"/>
    <n v="8"/>
    <n v="348.98"/>
    <x v="1"/>
    <x v="1"/>
    <x v="1"/>
    <x v="2"/>
    <n v="2512.6559999999999"/>
    <x v="0"/>
    <x v="0"/>
    <n v="0"/>
    <s v="REG100116"/>
    <s v="Cust 5523"/>
    <n v="19.170000000000002"/>
    <d v="2025-04-15T00:00:00"/>
    <d v="2025-04-20T00:00:00"/>
    <x v="3"/>
  </r>
  <r>
    <x v="111"/>
    <x v="4"/>
    <x v="6"/>
    <n v="2"/>
    <n v="289.14"/>
    <x v="2"/>
    <x v="1"/>
    <x v="3"/>
    <x v="4"/>
    <n v="549.36599999999999"/>
    <x v="0"/>
    <x v="1"/>
    <n v="0"/>
    <s v="REG100117"/>
    <s v="Cust 2015"/>
    <n v="5.13"/>
    <d v="2024-08-11T00:00:00"/>
    <d v="2024-08-13T00:00:00"/>
    <x v="4"/>
  </r>
  <r>
    <x v="112"/>
    <x v="1"/>
    <x v="2"/>
    <n v="5"/>
    <n v="396.93"/>
    <x v="0"/>
    <x v="0"/>
    <x v="0"/>
    <x v="4"/>
    <n v="1984.65"/>
    <x v="2"/>
    <x v="0"/>
    <n v="0"/>
    <s v="REG100118"/>
    <s v="Cust 6895"/>
    <n v="48.63"/>
    <d v="2023-12-01T00:00:00"/>
    <d v="2023-12-08T00:00:00"/>
    <x v="1"/>
  </r>
  <r>
    <x v="23"/>
    <x v="3"/>
    <x v="0"/>
    <n v="10"/>
    <n v="508.57"/>
    <x v="3"/>
    <x v="1"/>
    <x v="3"/>
    <x v="5"/>
    <n v="4831.415"/>
    <x v="0"/>
    <x v="1"/>
    <n v="0"/>
    <s v="REG100119"/>
    <s v="Cust 1797"/>
    <n v="9.35"/>
    <d v="2023-08-06T00:00:00"/>
    <d v="2023-08-11T00:00:00"/>
    <x v="3"/>
  </r>
  <r>
    <x v="113"/>
    <x v="3"/>
    <x v="0"/>
    <n v="11"/>
    <n v="259.61"/>
    <x v="2"/>
    <x v="0"/>
    <x v="1"/>
    <x v="3"/>
    <n v="2570.1390000000001"/>
    <x v="4"/>
    <x v="0"/>
    <n v="0"/>
    <s v="REG100120"/>
    <s v="Cust 9969"/>
    <n v="13.73"/>
    <d v="2024-01-24T00:00:00"/>
    <d v="2024-01-31T00:00:00"/>
    <x v="3"/>
  </r>
  <r>
    <x v="114"/>
    <x v="3"/>
    <x v="3"/>
    <n v="9"/>
    <n v="313.29000000000002"/>
    <x v="3"/>
    <x v="1"/>
    <x v="0"/>
    <x v="3"/>
    <n v="2819.61"/>
    <x v="0"/>
    <x v="0"/>
    <n v="0"/>
    <s v="REG100121"/>
    <s v="Cust 1815"/>
    <n v="14.04"/>
    <d v="2024-03-07T00:00:00"/>
    <d v="2024-03-13T00:00:00"/>
    <x v="3"/>
  </r>
  <r>
    <x v="115"/>
    <x v="1"/>
    <x v="5"/>
    <n v="5"/>
    <n v="106.57"/>
    <x v="2"/>
    <x v="0"/>
    <x v="1"/>
    <x v="3"/>
    <n v="479.56499999999988"/>
    <x v="3"/>
    <x v="1"/>
    <n v="1"/>
    <s v="REG100122"/>
    <s v="Cust 7773"/>
    <n v="25.24"/>
    <d v="2024-01-22T00:00:00"/>
    <d v="2024-01-28T00:00:00"/>
    <x v="1"/>
  </r>
  <r>
    <x v="0"/>
    <x v="0"/>
    <x v="6"/>
    <n v="1"/>
    <n v="109"/>
    <x v="0"/>
    <x v="1"/>
    <x v="2"/>
    <x v="2"/>
    <n v="92.649999999999991"/>
    <x v="4"/>
    <x v="2"/>
    <n v="1"/>
    <s v="REG100123"/>
    <s v="Cust 1499"/>
    <n v="8.0299999999999994"/>
    <d v="2023-02-23T00:00:00"/>
    <d v="2023-02-27T00:00:00"/>
    <x v="0"/>
  </r>
  <r>
    <x v="116"/>
    <x v="2"/>
    <x v="5"/>
    <n v="8"/>
    <n v="323.8"/>
    <x v="0"/>
    <x v="1"/>
    <x v="0"/>
    <x v="4"/>
    <n v="2590.4"/>
    <x v="4"/>
    <x v="1"/>
    <n v="1"/>
    <s v="REG100124"/>
    <s v="Cust 3809"/>
    <n v="35.229999999999997"/>
    <d v="2023-06-14T00:00:00"/>
    <d v="2023-06-22T00:00:00"/>
    <x v="2"/>
  </r>
  <r>
    <x v="92"/>
    <x v="2"/>
    <x v="0"/>
    <n v="16"/>
    <n v="384.32"/>
    <x v="1"/>
    <x v="1"/>
    <x v="3"/>
    <x v="2"/>
    <n v="5841.6639999999998"/>
    <x v="4"/>
    <x v="0"/>
    <n v="0"/>
    <s v="REG100125"/>
    <s v="Cust 7824"/>
    <n v="21.5"/>
    <d v="2025-05-13T00:00:00"/>
    <d v="2025-05-15T00:00:00"/>
    <x v="2"/>
  </r>
  <r>
    <x v="117"/>
    <x v="3"/>
    <x v="6"/>
    <n v="16"/>
    <n v="163.86"/>
    <x v="2"/>
    <x v="1"/>
    <x v="2"/>
    <x v="4"/>
    <n v="2228.4960000000001"/>
    <x v="1"/>
    <x v="0"/>
    <n v="0"/>
    <s v="REG100126"/>
    <s v="Cust 7258"/>
    <n v="37.950000000000003"/>
    <d v="2024-07-30T00:00:00"/>
    <d v="2024-08-06T00:00:00"/>
    <x v="3"/>
  </r>
  <r>
    <x v="118"/>
    <x v="0"/>
    <x v="5"/>
    <n v="5"/>
    <n v="23.41"/>
    <x v="0"/>
    <x v="0"/>
    <x v="0"/>
    <x v="2"/>
    <n v="117.05"/>
    <x v="2"/>
    <x v="2"/>
    <n v="0"/>
    <s v="REG100127"/>
    <s v="Cust 1151"/>
    <n v="26.44"/>
    <d v="2024-07-18T00:00:00"/>
    <d v="2024-07-27T00:00:00"/>
    <x v="0"/>
  </r>
  <r>
    <x v="98"/>
    <x v="0"/>
    <x v="6"/>
    <n v="20"/>
    <n v="488.9"/>
    <x v="2"/>
    <x v="0"/>
    <x v="2"/>
    <x v="0"/>
    <n v="8311.2999999999993"/>
    <x v="1"/>
    <x v="0"/>
    <n v="0"/>
    <s v="REG100128"/>
    <s v="Cust 6486"/>
    <n v="21.77"/>
    <d v="2024-08-26T00:00:00"/>
    <d v="2024-09-01T00:00:00"/>
    <x v="0"/>
  </r>
  <r>
    <x v="119"/>
    <x v="4"/>
    <x v="5"/>
    <n v="7"/>
    <n v="452.56"/>
    <x v="1"/>
    <x v="0"/>
    <x v="3"/>
    <x v="2"/>
    <n v="3009.5239999999999"/>
    <x v="1"/>
    <x v="0"/>
    <n v="0"/>
    <s v="REG100129"/>
    <s v="Cust 4034"/>
    <n v="46.97"/>
    <d v="2025-06-08T00:00:00"/>
    <d v="2025-06-15T00:00:00"/>
    <x v="4"/>
  </r>
  <r>
    <x v="120"/>
    <x v="2"/>
    <x v="2"/>
    <n v="11"/>
    <n v="465.24"/>
    <x v="1"/>
    <x v="0"/>
    <x v="0"/>
    <x v="3"/>
    <n v="5117.6400000000003"/>
    <x v="3"/>
    <x v="3"/>
    <n v="1"/>
    <s v="REG100130"/>
    <s v="Cust 9794"/>
    <n v="17.59"/>
    <d v="2025-05-16T00:00:00"/>
    <d v="2025-05-23T00:00:00"/>
    <x v="2"/>
  </r>
  <r>
    <x v="118"/>
    <x v="0"/>
    <x v="1"/>
    <n v="14"/>
    <n v="442.65"/>
    <x v="0"/>
    <x v="1"/>
    <x v="0"/>
    <x v="0"/>
    <n v="6197.0999999999995"/>
    <x v="1"/>
    <x v="1"/>
    <n v="0"/>
    <s v="REG100131"/>
    <s v="Cust 2414"/>
    <n v="28.76"/>
    <d v="2024-07-18T00:00:00"/>
    <d v="2024-07-24T00:00:00"/>
    <x v="0"/>
  </r>
  <r>
    <x v="121"/>
    <x v="4"/>
    <x v="0"/>
    <n v="12"/>
    <n v="469.44"/>
    <x v="0"/>
    <x v="0"/>
    <x v="0"/>
    <x v="5"/>
    <n v="5633.28"/>
    <x v="0"/>
    <x v="0"/>
    <n v="0"/>
    <s v="REG100132"/>
    <s v="Cust 9024"/>
    <n v="33.299999999999997"/>
    <d v="2023-09-17T00:00:00"/>
    <d v="2023-09-26T00:00:00"/>
    <x v="4"/>
  </r>
  <r>
    <x v="122"/>
    <x v="0"/>
    <x v="4"/>
    <n v="14"/>
    <n v="248.77"/>
    <x v="2"/>
    <x v="0"/>
    <x v="3"/>
    <x v="5"/>
    <n v="3308.6410000000001"/>
    <x v="3"/>
    <x v="0"/>
    <n v="1"/>
    <s v="REG100133"/>
    <s v="Cust 2663"/>
    <n v="21.76"/>
    <d v="2023-03-13T00:00:00"/>
    <d v="2023-03-19T00:00:00"/>
    <x v="0"/>
  </r>
  <r>
    <x v="88"/>
    <x v="1"/>
    <x v="3"/>
    <n v="4"/>
    <n v="565.29"/>
    <x v="3"/>
    <x v="0"/>
    <x v="3"/>
    <x v="1"/>
    <n v="2148.1019999999999"/>
    <x v="4"/>
    <x v="3"/>
    <n v="0"/>
    <s v="REG100134"/>
    <s v="Cust 2293"/>
    <n v="27.04"/>
    <d v="2023-03-29T00:00:00"/>
    <d v="2023-04-03T00:00:00"/>
    <x v="1"/>
  </r>
  <r>
    <x v="123"/>
    <x v="3"/>
    <x v="2"/>
    <n v="12"/>
    <n v="244.8"/>
    <x v="0"/>
    <x v="0"/>
    <x v="3"/>
    <x v="2"/>
    <n v="2790.72"/>
    <x v="0"/>
    <x v="0"/>
    <n v="0"/>
    <s v="REG100135"/>
    <s v="Cust 8963"/>
    <n v="44.75"/>
    <d v="2023-07-14T00:00:00"/>
    <d v="2023-07-23T00:00:00"/>
    <x v="3"/>
  </r>
  <r>
    <x v="124"/>
    <x v="4"/>
    <x v="0"/>
    <n v="13"/>
    <n v="290.93"/>
    <x v="2"/>
    <x v="1"/>
    <x v="3"/>
    <x v="4"/>
    <n v="3592.9854999999998"/>
    <x v="2"/>
    <x v="0"/>
    <n v="0"/>
    <s v="REG100136"/>
    <s v="Cust 9238"/>
    <n v="26.09"/>
    <d v="2024-03-22T00:00:00"/>
    <d v="2024-03-31T00:00:00"/>
    <x v="4"/>
  </r>
  <r>
    <x v="125"/>
    <x v="3"/>
    <x v="0"/>
    <n v="11"/>
    <n v="229.49"/>
    <x v="2"/>
    <x v="1"/>
    <x v="1"/>
    <x v="5"/>
    <n v="2271.951"/>
    <x v="4"/>
    <x v="3"/>
    <n v="0"/>
    <s v="REG100137"/>
    <s v="Cust 1390"/>
    <n v="35.39"/>
    <d v="2024-05-14T00:00:00"/>
    <d v="2024-05-17T00:00:00"/>
    <x v="3"/>
  </r>
  <r>
    <x v="126"/>
    <x v="3"/>
    <x v="4"/>
    <n v="2"/>
    <n v="427.36"/>
    <x v="1"/>
    <x v="0"/>
    <x v="3"/>
    <x v="4"/>
    <n v="811.98400000000004"/>
    <x v="0"/>
    <x v="1"/>
    <n v="0"/>
    <s v="REG100138"/>
    <s v="Cust 8548"/>
    <n v="19.420000000000002"/>
    <d v="2023-05-30T00:00:00"/>
    <d v="2023-06-02T00:00:00"/>
    <x v="3"/>
  </r>
  <r>
    <x v="127"/>
    <x v="2"/>
    <x v="1"/>
    <n v="2"/>
    <n v="443.51"/>
    <x v="2"/>
    <x v="0"/>
    <x v="3"/>
    <x v="1"/>
    <n v="842.66899999999998"/>
    <x v="4"/>
    <x v="3"/>
    <n v="0"/>
    <s v="REG100139"/>
    <s v="Cust 2919"/>
    <n v="13.65"/>
    <d v="2023-03-19T00:00:00"/>
    <d v="2023-03-22T00:00:00"/>
    <x v="2"/>
  </r>
  <r>
    <x v="128"/>
    <x v="3"/>
    <x v="2"/>
    <n v="13"/>
    <n v="280.63"/>
    <x v="0"/>
    <x v="0"/>
    <x v="2"/>
    <x v="1"/>
    <n v="3100.9614999999999"/>
    <x v="2"/>
    <x v="1"/>
    <n v="0"/>
    <s v="REG100140"/>
    <s v="Cust 5847"/>
    <n v="10.14"/>
    <d v="2023-08-09T00:00:00"/>
    <d v="2023-08-14T00:00:00"/>
    <x v="3"/>
  </r>
  <r>
    <x v="129"/>
    <x v="2"/>
    <x v="3"/>
    <n v="13"/>
    <n v="416.66"/>
    <x v="0"/>
    <x v="0"/>
    <x v="2"/>
    <x v="5"/>
    <n v="4604.0929999999998"/>
    <x v="2"/>
    <x v="2"/>
    <n v="0"/>
    <s v="REG100141"/>
    <s v="Cust 5711"/>
    <n v="21.74"/>
    <d v="2024-10-13T00:00:00"/>
    <d v="2024-10-20T00:00:00"/>
    <x v="2"/>
  </r>
  <r>
    <x v="130"/>
    <x v="0"/>
    <x v="3"/>
    <n v="11"/>
    <n v="589.48"/>
    <x v="0"/>
    <x v="1"/>
    <x v="0"/>
    <x v="1"/>
    <n v="6484.2800000000007"/>
    <x v="0"/>
    <x v="2"/>
    <n v="0"/>
    <s v="REG100142"/>
    <s v="Cust 5461"/>
    <n v="49.93"/>
    <d v="2025-02-17T00:00:00"/>
    <d v="2025-02-25T00:00:00"/>
    <x v="0"/>
  </r>
  <r>
    <x v="54"/>
    <x v="2"/>
    <x v="1"/>
    <n v="18"/>
    <n v="152.84"/>
    <x v="2"/>
    <x v="1"/>
    <x v="2"/>
    <x v="4"/>
    <n v="2338.4520000000002"/>
    <x v="3"/>
    <x v="0"/>
    <n v="1"/>
    <s v="REG100143"/>
    <s v="Cust 8905"/>
    <n v="20.3"/>
    <d v="2025-06-11T00:00:00"/>
    <d v="2025-06-20T00:00:00"/>
    <x v="2"/>
  </r>
  <r>
    <x v="131"/>
    <x v="3"/>
    <x v="5"/>
    <n v="4"/>
    <n v="163.66"/>
    <x v="0"/>
    <x v="1"/>
    <x v="0"/>
    <x v="5"/>
    <n v="654.64"/>
    <x v="1"/>
    <x v="2"/>
    <n v="1"/>
    <s v="REG100144"/>
    <s v="Cust 9618"/>
    <n v="31.8"/>
    <d v="2024-04-29T00:00:00"/>
    <d v="2024-05-01T00:00:00"/>
    <x v="3"/>
  </r>
  <r>
    <x v="132"/>
    <x v="4"/>
    <x v="0"/>
    <n v="19"/>
    <n v="484.25"/>
    <x v="2"/>
    <x v="0"/>
    <x v="2"/>
    <x v="5"/>
    <n v="7820.6374999999998"/>
    <x v="3"/>
    <x v="0"/>
    <n v="1"/>
    <s v="REG100145"/>
    <s v="Cust 5203"/>
    <n v="29.51"/>
    <d v="2023-03-18T00:00:00"/>
    <d v="2023-03-20T00:00:00"/>
    <x v="4"/>
  </r>
  <r>
    <x v="133"/>
    <x v="2"/>
    <x v="3"/>
    <n v="9"/>
    <n v="380.4"/>
    <x v="0"/>
    <x v="1"/>
    <x v="1"/>
    <x v="3"/>
    <n v="3081.24"/>
    <x v="2"/>
    <x v="3"/>
    <n v="0"/>
    <s v="REG100146"/>
    <s v="Cust 1732"/>
    <n v="31"/>
    <d v="2024-12-21T00:00:00"/>
    <d v="2024-12-27T00:00:00"/>
    <x v="2"/>
  </r>
  <r>
    <x v="134"/>
    <x v="4"/>
    <x v="3"/>
    <n v="17"/>
    <n v="332.38"/>
    <x v="1"/>
    <x v="1"/>
    <x v="1"/>
    <x v="2"/>
    <n v="5085.4139999999998"/>
    <x v="2"/>
    <x v="1"/>
    <n v="1"/>
    <s v="REG100147"/>
    <s v="Cust 4734"/>
    <n v="33.81"/>
    <d v="2023-04-23T00:00:00"/>
    <d v="2023-05-02T00:00:00"/>
    <x v="4"/>
  </r>
  <r>
    <x v="15"/>
    <x v="3"/>
    <x v="3"/>
    <n v="15"/>
    <n v="210.94"/>
    <x v="2"/>
    <x v="0"/>
    <x v="3"/>
    <x v="2"/>
    <n v="3005.895"/>
    <x v="0"/>
    <x v="1"/>
    <n v="0"/>
    <s v="REG100148"/>
    <s v="Cust 5895"/>
    <n v="10.91"/>
    <d v="2025-05-11T00:00:00"/>
    <d v="2025-05-21T00:00:00"/>
    <x v="3"/>
  </r>
  <r>
    <x v="69"/>
    <x v="1"/>
    <x v="1"/>
    <n v="9"/>
    <n v="382.8"/>
    <x v="3"/>
    <x v="0"/>
    <x v="0"/>
    <x v="0"/>
    <n v="3445.2"/>
    <x v="4"/>
    <x v="3"/>
    <n v="0"/>
    <s v="REG100149"/>
    <s v="Cust 9691"/>
    <n v="47.94"/>
    <d v="2024-03-03T00:00:00"/>
    <d v="2024-03-05T00:00:00"/>
    <x v="1"/>
  </r>
  <r>
    <x v="135"/>
    <x v="2"/>
    <x v="4"/>
    <n v="3"/>
    <n v="386.29"/>
    <x v="2"/>
    <x v="1"/>
    <x v="2"/>
    <x v="3"/>
    <n v="985.03950000000009"/>
    <x v="2"/>
    <x v="0"/>
    <n v="0"/>
    <s v="REG100150"/>
    <s v="Cust 5406"/>
    <n v="32.450000000000003"/>
    <d v="2025-01-20T00:00:00"/>
    <d v="2025-01-30T00:00:00"/>
    <x v="2"/>
  </r>
  <r>
    <x v="61"/>
    <x v="2"/>
    <x v="5"/>
    <n v="5"/>
    <n v="225.99"/>
    <x v="2"/>
    <x v="1"/>
    <x v="0"/>
    <x v="0"/>
    <n v="1129.95"/>
    <x v="0"/>
    <x v="1"/>
    <n v="1"/>
    <s v="REG100151"/>
    <s v="Cust 5750"/>
    <n v="10.88"/>
    <d v="2025-03-22T00:00:00"/>
    <d v="2025-03-30T00:00:00"/>
    <x v="2"/>
  </r>
  <r>
    <x v="136"/>
    <x v="1"/>
    <x v="6"/>
    <n v="20"/>
    <n v="312.56"/>
    <x v="3"/>
    <x v="1"/>
    <x v="2"/>
    <x v="2"/>
    <n v="5313.52"/>
    <x v="1"/>
    <x v="2"/>
    <n v="0"/>
    <s v="REG100152"/>
    <s v="Cust 6506"/>
    <n v="47.39"/>
    <d v="2025-03-28T00:00:00"/>
    <d v="2025-03-30T00:00:00"/>
    <x v="1"/>
  </r>
  <r>
    <x v="130"/>
    <x v="2"/>
    <x v="1"/>
    <n v="13"/>
    <n v="433.77"/>
    <x v="2"/>
    <x v="0"/>
    <x v="3"/>
    <x v="2"/>
    <n v="5357.0595000000003"/>
    <x v="4"/>
    <x v="0"/>
    <n v="0"/>
    <s v="REG100153"/>
    <s v="Cust 8280"/>
    <n v="17.61"/>
    <d v="2025-02-17T00:00:00"/>
    <d v="2025-02-21T00:00:00"/>
    <x v="2"/>
  </r>
  <r>
    <x v="137"/>
    <x v="1"/>
    <x v="5"/>
    <n v="20"/>
    <n v="159.33000000000001"/>
    <x v="1"/>
    <x v="0"/>
    <x v="0"/>
    <x v="0"/>
    <n v="3186.6"/>
    <x v="0"/>
    <x v="0"/>
    <n v="0"/>
    <s v="REG100154"/>
    <s v="Cust 4358"/>
    <n v="26.32"/>
    <d v="2024-11-08T00:00:00"/>
    <d v="2024-11-11T00:00:00"/>
    <x v="1"/>
  </r>
  <r>
    <x v="138"/>
    <x v="1"/>
    <x v="1"/>
    <n v="18"/>
    <n v="32.229999999999997"/>
    <x v="0"/>
    <x v="1"/>
    <x v="3"/>
    <x v="5"/>
    <n v="551.13299999999992"/>
    <x v="2"/>
    <x v="0"/>
    <n v="0"/>
    <s v="REG100155"/>
    <s v="Cust 3588"/>
    <n v="6.04"/>
    <d v="2024-03-17T00:00:00"/>
    <d v="2024-03-21T00:00:00"/>
    <x v="1"/>
  </r>
  <r>
    <x v="139"/>
    <x v="1"/>
    <x v="4"/>
    <n v="3"/>
    <n v="527.77"/>
    <x v="2"/>
    <x v="1"/>
    <x v="1"/>
    <x v="5"/>
    <n v="1424.979"/>
    <x v="4"/>
    <x v="0"/>
    <n v="0"/>
    <s v="REG100156"/>
    <s v="Cust 4539"/>
    <n v="48.66"/>
    <d v="2023-08-29T00:00:00"/>
    <d v="2023-09-01T00:00:00"/>
    <x v="1"/>
  </r>
  <r>
    <x v="19"/>
    <x v="1"/>
    <x v="3"/>
    <n v="14"/>
    <n v="291.08999999999997"/>
    <x v="1"/>
    <x v="1"/>
    <x v="0"/>
    <x v="3"/>
    <n v="4075.26"/>
    <x v="4"/>
    <x v="3"/>
    <n v="0"/>
    <s v="REG100157"/>
    <s v="Cust 7067"/>
    <n v="39.979999999999997"/>
    <d v="2023-06-22T00:00:00"/>
    <d v="2023-06-30T00:00:00"/>
    <x v="1"/>
  </r>
  <r>
    <x v="62"/>
    <x v="1"/>
    <x v="1"/>
    <n v="8"/>
    <n v="350.12"/>
    <x v="2"/>
    <x v="1"/>
    <x v="0"/>
    <x v="1"/>
    <n v="2800.96"/>
    <x v="1"/>
    <x v="0"/>
    <n v="1"/>
    <s v="REG100158"/>
    <s v="Cust 7720"/>
    <n v="31.65"/>
    <d v="2024-02-24T00:00:00"/>
    <d v="2024-03-01T00:00:00"/>
    <x v="1"/>
  </r>
  <r>
    <x v="10"/>
    <x v="2"/>
    <x v="1"/>
    <n v="10"/>
    <n v="195.26"/>
    <x v="3"/>
    <x v="1"/>
    <x v="3"/>
    <x v="1"/>
    <n v="1854.97"/>
    <x v="2"/>
    <x v="2"/>
    <n v="0"/>
    <s v="REG100159"/>
    <s v="Cust 5668"/>
    <n v="46.91"/>
    <d v="2024-04-10T00:00:00"/>
    <d v="2024-04-15T00:00:00"/>
    <x v="2"/>
  </r>
  <r>
    <x v="140"/>
    <x v="1"/>
    <x v="4"/>
    <n v="13"/>
    <n v="291.10000000000002"/>
    <x v="1"/>
    <x v="0"/>
    <x v="0"/>
    <x v="1"/>
    <n v="3784.3"/>
    <x v="0"/>
    <x v="0"/>
    <n v="0"/>
    <s v="REG100160"/>
    <s v="Cust 8367"/>
    <n v="7.66"/>
    <d v="2023-05-14T00:00:00"/>
    <d v="2023-05-19T00:00:00"/>
    <x v="1"/>
  </r>
  <r>
    <x v="141"/>
    <x v="1"/>
    <x v="4"/>
    <n v="6"/>
    <n v="93.92"/>
    <x v="0"/>
    <x v="0"/>
    <x v="2"/>
    <x v="0"/>
    <n v="478.99200000000002"/>
    <x v="2"/>
    <x v="0"/>
    <n v="0"/>
    <s v="REG100161"/>
    <s v="Cust 4438"/>
    <n v="11"/>
    <d v="2023-03-11T00:00:00"/>
    <d v="2023-03-18T00:00:00"/>
    <x v="1"/>
  </r>
  <r>
    <x v="142"/>
    <x v="3"/>
    <x v="6"/>
    <n v="5"/>
    <n v="15.92"/>
    <x v="3"/>
    <x v="1"/>
    <x v="0"/>
    <x v="0"/>
    <n v="79.599999999999994"/>
    <x v="2"/>
    <x v="3"/>
    <n v="1"/>
    <s v="REG100162"/>
    <s v="Cust 3481"/>
    <n v="8.66"/>
    <d v="2024-08-24T00:00:00"/>
    <d v="2024-08-26T00:00:00"/>
    <x v="3"/>
  </r>
  <r>
    <x v="143"/>
    <x v="1"/>
    <x v="4"/>
    <n v="16"/>
    <n v="120.22"/>
    <x v="3"/>
    <x v="1"/>
    <x v="2"/>
    <x v="5"/>
    <n v="1634.992"/>
    <x v="4"/>
    <x v="1"/>
    <n v="0"/>
    <s v="REG100163"/>
    <s v="Cust 1489"/>
    <n v="8.42"/>
    <d v="2024-02-23T00:00:00"/>
    <d v="2024-03-01T00:00:00"/>
    <x v="1"/>
  </r>
  <r>
    <x v="144"/>
    <x v="2"/>
    <x v="4"/>
    <n v="11"/>
    <n v="118.8"/>
    <x v="1"/>
    <x v="1"/>
    <x v="3"/>
    <x v="0"/>
    <n v="1241.46"/>
    <x v="0"/>
    <x v="1"/>
    <n v="0"/>
    <s v="REG100164"/>
    <s v="Cust 6649"/>
    <n v="39.32"/>
    <d v="2024-01-30T00:00:00"/>
    <d v="2024-02-06T00:00:00"/>
    <x v="2"/>
  </r>
  <r>
    <x v="145"/>
    <x v="0"/>
    <x v="5"/>
    <n v="10"/>
    <n v="92.45"/>
    <x v="2"/>
    <x v="0"/>
    <x v="1"/>
    <x v="2"/>
    <n v="832.05000000000007"/>
    <x v="4"/>
    <x v="2"/>
    <n v="1"/>
    <s v="REG100165"/>
    <s v="Cust 6114"/>
    <n v="42.61"/>
    <d v="2024-01-23T00:00:00"/>
    <d v="2024-01-29T00:00:00"/>
    <x v="0"/>
  </r>
  <r>
    <x v="82"/>
    <x v="2"/>
    <x v="0"/>
    <n v="19"/>
    <n v="463.51"/>
    <x v="0"/>
    <x v="1"/>
    <x v="0"/>
    <x v="5"/>
    <n v="8806.69"/>
    <x v="4"/>
    <x v="0"/>
    <n v="0"/>
    <s v="REG100166"/>
    <s v="Cust 9589"/>
    <n v="49.38"/>
    <d v="2023-01-05T00:00:00"/>
    <d v="2023-01-08T00:00:00"/>
    <x v="2"/>
  </r>
  <r>
    <x v="146"/>
    <x v="2"/>
    <x v="2"/>
    <n v="7"/>
    <n v="284.7"/>
    <x v="3"/>
    <x v="0"/>
    <x v="3"/>
    <x v="5"/>
    <n v="1893.2550000000001"/>
    <x v="1"/>
    <x v="3"/>
    <n v="0"/>
    <s v="REG100167"/>
    <s v="Cust 8184"/>
    <n v="5.36"/>
    <d v="2023-12-21T00:00:00"/>
    <d v="2023-12-30T00:00:00"/>
    <x v="2"/>
  </r>
  <r>
    <x v="147"/>
    <x v="4"/>
    <x v="0"/>
    <n v="20"/>
    <n v="343.25"/>
    <x v="2"/>
    <x v="0"/>
    <x v="3"/>
    <x v="1"/>
    <n v="6521.75"/>
    <x v="3"/>
    <x v="0"/>
    <n v="0"/>
    <s v="REG100168"/>
    <s v="Cust 2490"/>
    <n v="28.77"/>
    <d v="2023-05-25T00:00:00"/>
    <d v="2023-06-02T00:00:00"/>
    <x v="4"/>
  </r>
  <r>
    <x v="148"/>
    <x v="3"/>
    <x v="3"/>
    <n v="6"/>
    <n v="95.24"/>
    <x v="3"/>
    <x v="0"/>
    <x v="2"/>
    <x v="4"/>
    <n v="485.72399999999988"/>
    <x v="1"/>
    <x v="0"/>
    <n v="0"/>
    <s v="REG100169"/>
    <s v="Cust 1647"/>
    <n v="18.72"/>
    <d v="2025-06-30T00:00:00"/>
    <d v="2025-07-08T00:00:00"/>
    <x v="3"/>
  </r>
  <r>
    <x v="149"/>
    <x v="4"/>
    <x v="2"/>
    <n v="13"/>
    <n v="104.8"/>
    <x v="0"/>
    <x v="1"/>
    <x v="3"/>
    <x v="4"/>
    <n v="1294.28"/>
    <x v="2"/>
    <x v="2"/>
    <n v="0"/>
    <s v="REG100170"/>
    <s v="Cust 2017"/>
    <n v="7.79"/>
    <d v="2025-02-12T00:00:00"/>
    <d v="2025-02-19T00:00:00"/>
    <x v="4"/>
  </r>
  <r>
    <x v="150"/>
    <x v="4"/>
    <x v="5"/>
    <n v="12"/>
    <n v="164.31"/>
    <x v="0"/>
    <x v="0"/>
    <x v="1"/>
    <x v="0"/>
    <n v="1774.548"/>
    <x v="4"/>
    <x v="3"/>
    <n v="1"/>
    <s v="REG100171"/>
    <s v="Cust 3446"/>
    <n v="38.9"/>
    <d v="2024-01-03T00:00:00"/>
    <d v="2024-01-07T00:00:00"/>
    <x v="4"/>
  </r>
  <r>
    <x v="151"/>
    <x v="1"/>
    <x v="5"/>
    <n v="10"/>
    <n v="325.18"/>
    <x v="2"/>
    <x v="0"/>
    <x v="1"/>
    <x v="1"/>
    <n v="2926.62"/>
    <x v="4"/>
    <x v="2"/>
    <n v="0"/>
    <s v="REG100172"/>
    <s v="Cust 4877"/>
    <n v="47.39"/>
    <d v="2023-02-03T00:00:00"/>
    <d v="2023-02-13T00:00:00"/>
    <x v="1"/>
  </r>
  <r>
    <x v="152"/>
    <x v="0"/>
    <x v="4"/>
    <n v="17"/>
    <n v="542.82000000000005"/>
    <x v="1"/>
    <x v="0"/>
    <x v="0"/>
    <x v="1"/>
    <n v="9227.94"/>
    <x v="3"/>
    <x v="2"/>
    <n v="1"/>
    <s v="REG100173"/>
    <s v="Cust 9112"/>
    <n v="7.13"/>
    <d v="2024-03-01T00:00:00"/>
    <d v="2024-03-08T00:00:00"/>
    <x v="0"/>
  </r>
  <r>
    <x v="56"/>
    <x v="2"/>
    <x v="5"/>
    <n v="14"/>
    <n v="207.48"/>
    <x v="2"/>
    <x v="0"/>
    <x v="3"/>
    <x v="0"/>
    <n v="2759.483999999999"/>
    <x v="0"/>
    <x v="3"/>
    <n v="0"/>
    <s v="REG100174"/>
    <s v="Cust 8172"/>
    <n v="5.7"/>
    <d v="2023-05-24T00:00:00"/>
    <d v="2023-06-02T00:00:00"/>
    <x v="2"/>
  </r>
  <r>
    <x v="153"/>
    <x v="2"/>
    <x v="6"/>
    <n v="17"/>
    <n v="527.88"/>
    <x v="3"/>
    <x v="1"/>
    <x v="3"/>
    <x v="5"/>
    <n v="8525.2619999999988"/>
    <x v="4"/>
    <x v="2"/>
    <n v="0"/>
    <s v="REG100175"/>
    <s v="Cust 4597"/>
    <n v="21.32"/>
    <d v="2025-06-22T00:00:00"/>
    <d v="2025-06-28T00:00:00"/>
    <x v="2"/>
  </r>
  <r>
    <x v="154"/>
    <x v="2"/>
    <x v="3"/>
    <n v="11"/>
    <n v="71.209999999999994"/>
    <x v="0"/>
    <x v="1"/>
    <x v="3"/>
    <x v="4"/>
    <n v="744.14449999999988"/>
    <x v="0"/>
    <x v="3"/>
    <n v="1"/>
    <s v="REG100176"/>
    <s v="Cust 3690"/>
    <n v="44.2"/>
    <d v="2023-04-10T00:00:00"/>
    <d v="2023-04-14T00:00:00"/>
    <x v="2"/>
  </r>
  <r>
    <x v="155"/>
    <x v="3"/>
    <x v="6"/>
    <n v="8"/>
    <n v="486.07"/>
    <x v="0"/>
    <x v="1"/>
    <x v="0"/>
    <x v="3"/>
    <n v="3888.56"/>
    <x v="3"/>
    <x v="0"/>
    <n v="0"/>
    <s v="REG100177"/>
    <s v="Cust 2893"/>
    <n v="10.68"/>
    <d v="2025-03-04T00:00:00"/>
    <d v="2025-03-10T00:00:00"/>
    <x v="3"/>
  </r>
  <r>
    <x v="156"/>
    <x v="0"/>
    <x v="0"/>
    <n v="6"/>
    <n v="555.03"/>
    <x v="2"/>
    <x v="1"/>
    <x v="1"/>
    <x v="2"/>
    <n v="2997.1619999999998"/>
    <x v="2"/>
    <x v="3"/>
    <n v="1"/>
    <s v="REG100178"/>
    <s v="Cust 5602"/>
    <n v="23.69"/>
    <d v="2024-07-11T00:00:00"/>
    <d v="2024-07-20T00:00:00"/>
    <x v="0"/>
  </r>
  <r>
    <x v="157"/>
    <x v="0"/>
    <x v="2"/>
    <n v="13"/>
    <n v="421.08"/>
    <x v="0"/>
    <x v="0"/>
    <x v="0"/>
    <x v="5"/>
    <n v="5474.04"/>
    <x v="4"/>
    <x v="3"/>
    <n v="0"/>
    <s v="REG100179"/>
    <s v="Cust 5616"/>
    <n v="24.51"/>
    <d v="2024-08-17T00:00:00"/>
    <d v="2024-08-20T00:00:00"/>
    <x v="0"/>
  </r>
  <r>
    <x v="148"/>
    <x v="2"/>
    <x v="0"/>
    <n v="16"/>
    <n v="76.17"/>
    <x v="3"/>
    <x v="0"/>
    <x v="1"/>
    <x v="1"/>
    <n v="1096.848"/>
    <x v="4"/>
    <x v="2"/>
    <n v="0"/>
    <s v="REG100180"/>
    <s v="Cust 1312"/>
    <n v="41.88"/>
    <d v="2025-06-30T00:00:00"/>
    <d v="2025-07-09T00:00:00"/>
    <x v="2"/>
  </r>
  <r>
    <x v="158"/>
    <x v="1"/>
    <x v="6"/>
    <n v="3"/>
    <n v="503.55"/>
    <x v="2"/>
    <x v="0"/>
    <x v="1"/>
    <x v="5"/>
    <n v="1359.585"/>
    <x v="2"/>
    <x v="2"/>
    <n v="0"/>
    <s v="REG100181"/>
    <s v="Cust 6315"/>
    <n v="37.49"/>
    <d v="2024-11-06T00:00:00"/>
    <d v="2024-11-13T00:00:00"/>
    <x v="1"/>
  </r>
  <r>
    <x v="159"/>
    <x v="0"/>
    <x v="5"/>
    <n v="5"/>
    <n v="31.56"/>
    <x v="3"/>
    <x v="1"/>
    <x v="0"/>
    <x v="4"/>
    <n v="157.80000000000001"/>
    <x v="0"/>
    <x v="1"/>
    <n v="1"/>
    <s v="REG100182"/>
    <s v="Cust 1224"/>
    <n v="29.56"/>
    <d v="2025-04-01T00:00:00"/>
    <d v="2025-04-04T00:00:00"/>
    <x v="0"/>
  </r>
  <r>
    <x v="160"/>
    <x v="4"/>
    <x v="0"/>
    <n v="16"/>
    <n v="72.92"/>
    <x v="2"/>
    <x v="0"/>
    <x v="3"/>
    <x v="2"/>
    <n v="1108.384"/>
    <x v="4"/>
    <x v="0"/>
    <n v="0"/>
    <s v="REG100183"/>
    <s v="Cust 7182"/>
    <n v="5.7"/>
    <d v="2024-07-01T00:00:00"/>
    <d v="2024-07-06T00:00:00"/>
    <x v="4"/>
  </r>
  <r>
    <x v="63"/>
    <x v="4"/>
    <x v="6"/>
    <n v="18"/>
    <n v="421.93"/>
    <x v="3"/>
    <x v="1"/>
    <x v="3"/>
    <x v="5"/>
    <n v="7215.0029999999997"/>
    <x v="1"/>
    <x v="2"/>
    <n v="0"/>
    <s v="REG100184"/>
    <s v="Cust 7901"/>
    <n v="23.42"/>
    <d v="2023-12-09T00:00:00"/>
    <d v="2023-12-18T00:00:00"/>
    <x v="4"/>
  </r>
  <r>
    <x v="161"/>
    <x v="2"/>
    <x v="2"/>
    <n v="15"/>
    <n v="478.41"/>
    <x v="0"/>
    <x v="1"/>
    <x v="1"/>
    <x v="3"/>
    <n v="6458.5350000000008"/>
    <x v="3"/>
    <x v="0"/>
    <n v="0"/>
    <s v="REG100185"/>
    <s v="Cust 1736"/>
    <n v="35.630000000000003"/>
    <d v="2023-06-27T00:00:00"/>
    <d v="2023-06-30T00:00:00"/>
    <x v="2"/>
  </r>
  <r>
    <x v="123"/>
    <x v="1"/>
    <x v="3"/>
    <n v="9"/>
    <n v="501.74"/>
    <x v="3"/>
    <x v="1"/>
    <x v="0"/>
    <x v="5"/>
    <n v="4515.66"/>
    <x v="0"/>
    <x v="1"/>
    <n v="1"/>
    <s v="REG100186"/>
    <s v="Cust 7795"/>
    <n v="39.74"/>
    <d v="2023-07-14T00:00:00"/>
    <d v="2023-07-17T00:00:00"/>
    <x v="1"/>
  </r>
  <r>
    <x v="162"/>
    <x v="1"/>
    <x v="5"/>
    <n v="7"/>
    <n v="247.53"/>
    <x v="2"/>
    <x v="0"/>
    <x v="2"/>
    <x v="1"/>
    <n v="1472.8035"/>
    <x v="1"/>
    <x v="0"/>
    <n v="0"/>
    <s v="REG100187"/>
    <s v="Cust 2471"/>
    <n v="13.63"/>
    <d v="2023-02-08T00:00:00"/>
    <d v="2023-02-16T00:00:00"/>
    <x v="1"/>
  </r>
  <r>
    <x v="163"/>
    <x v="4"/>
    <x v="5"/>
    <n v="6"/>
    <n v="176.51"/>
    <x v="2"/>
    <x v="0"/>
    <x v="2"/>
    <x v="3"/>
    <n v="900.20099999999991"/>
    <x v="3"/>
    <x v="0"/>
    <n v="1"/>
    <s v="REG100188"/>
    <s v="Cust 3068"/>
    <n v="31.02"/>
    <d v="2024-06-28T00:00:00"/>
    <d v="2024-07-07T00:00:00"/>
    <x v="4"/>
  </r>
  <r>
    <x v="164"/>
    <x v="4"/>
    <x v="0"/>
    <n v="2"/>
    <n v="143.43"/>
    <x v="3"/>
    <x v="0"/>
    <x v="0"/>
    <x v="5"/>
    <n v="286.86"/>
    <x v="2"/>
    <x v="3"/>
    <n v="0"/>
    <s v="REG100189"/>
    <s v="Cust 3848"/>
    <n v="36.94"/>
    <d v="2024-04-15T00:00:00"/>
    <d v="2024-04-22T00:00:00"/>
    <x v="4"/>
  </r>
  <r>
    <x v="165"/>
    <x v="0"/>
    <x v="4"/>
    <n v="12"/>
    <n v="538.5"/>
    <x v="2"/>
    <x v="0"/>
    <x v="3"/>
    <x v="1"/>
    <n v="6138.9"/>
    <x v="4"/>
    <x v="1"/>
    <n v="0"/>
    <s v="REG100190"/>
    <s v="Cust 7777"/>
    <n v="18.54"/>
    <d v="2023-11-27T00:00:00"/>
    <d v="2023-12-06T00:00:00"/>
    <x v="0"/>
  </r>
  <r>
    <x v="166"/>
    <x v="0"/>
    <x v="6"/>
    <n v="5"/>
    <n v="87.17"/>
    <x v="3"/>
    <x v="0"/>
    <x v="0"/>
    <x v="3"/>
    <n v="435.85"/>
    <x v="3"/>
    <x v="3"/>
    <n v="0"/>
    <s v="REG100191"/>
    <s v="Cust 6613"/>
    <n v="13.01"/>
    <d v="2025-03-27T00:00:00"/>
    <d v="2025-03-29T00:00:00"/>
    <x v="0"/>
  </r>
  <r>
    <x v="23"/>
    <x v="1"/>
    <x v="4"/>
    <n v="7"/>
    <n v="498.32"/>
    <x v="0"/>
    <x v="0"/>
    <x v="1"/>
    <x v="1"/>
    <n v="3139.4160000000002"/>
    <x v="2"/>
    <x v="2"/>
    <n v="1"/>
    <s v="REG100192"/>
    <s v="Cust 2326"/>
    <n v="27.65"/>
    <d v="2023-08-06T00:00:00"/>
    <d v="2023-08-10T00:00:00"/>
    <x v="1"/>
  </r>
  <r>
    <x v="167"/>
    <x v="1"/>
    <x v="6"/>
    <n v="15"/>
    <n v="57.14"/>
    <x v="0"/>
    <x v="0"/>
    <x v="2"/>
    <x v="3"/>
    <n v="728.53499999999997"/>
    <x v="3"/>
    <x v="0"/>
    <n v="0"/>
    <s v="REG100193"/>
    <s v="Cust 8304"/>
    <n v="7.02"/>
    <d v="2024-12-13T00:00:00"/>
    <d v="2024-12-22T00:00:00"/>
    <x v="1"/>
  </r>
  <r>
    <x v="50"/>
    <x v="3"/>
    <x v="5"/>
    <n v="18"/>
    <n v="124.18"/>
    <x v="0"/>
    <x v="0"/>
    <x v="2"/>
    <x v="3"/>
    <n v="1899.954"/>
    <x v="3"/>
    <x v="1"/>
    <n v="0"/>
    <s v="REG100194"/>
    <s v="Cust 3630"/>
    <n v="45.77"/>
    <d v="2025-01-17T00:00:00"/>
    <d v="2025-01-26T00:00:00"/>
    <x v="3"/>
  </r>
  <r>
    <x v="168"/>
    <x v="4"/>
    <x v="2"/>
    <n v="12"/>
    <n v="107.45"/>
    <x v="2"/>
    <x v="1"/>
    <x v="1"/>
    <x v="5"/>
    <n v="1160.46"/>
    <x v="0"/>
    <x v="0"/>
    <n v="0"/>
    <s v="REG100195"/>
    <s v="Cust 8617"/>
    <n v="18.170000000000002"/>
    <d v="2023-11-26T00:00:00"/>
    <d v="2023-12-02T00:00:00"/>
    <x v="4"/>
  </r>
  <r>
    <x v="169"/>
    <x v="0"/>
    <x v="3"/>
    <n v="8"/>
    <n v="411.26"/>
    <x v="1"/>
    <x v="1"/>
    <x v="1"/>
    <x v="2"/>
    <n v="2961.0720000000001"/>
    <x v="1"/>
    <x v="2"/>
    <n v="0"/>
    <s v="REG100196"/>
    <s v="Cust 3530"/>
    <n v="28.57"/>
    <d v="2023-02-14T00:00:00"/>
    <d v="2023-02-18T00:00:00"/>
    <x v="0"/>
  </r>
  <r>
    <x v="170"/>
    <x v="3"/>
    <x v="6"/>
    <n v="7"/>
    <n v="248.1"/>
    <x v="2"/>
    <x v="1"/>
    <x v="0"/>
    <x v="4"/>
    <n v="1736.7"/>
    <x v="4"/>
    <x v="2"/>
    <n v="0"/>
    <s v="REG100197"/>
    <s v="Cust 3884"/>
    <n v="31.8"/>
    <d v="2025-02-02T00:00:00"/>
    <d v="2025-02-06T00:00:00"/>
    <x v="3"/>
  </r>
  <r>
    <x v="171"/>
    <x v="4"/>
    <x v="6"/>
    <n v="3"/>
    <n v="486.52"/>
    <x v="0"/>
    <x v="0"/>
    <x v="1"/>
    <x v="3"/>
    <n v="1313.604"/>
    <x v="1"/>
    <x v="3"/>
    <n v="0"/>
    <s v="REG100198"/>
    <s v="Cust 5739"/>
    <n v="16.5"/>
    <d v="2023-04-11T00:00:00"/>
    <d v="2023-04-20T00:00:00"/>
    <x v="4"/>
  </r>
  <r>
    <x v="172"/>
    <x v="2"/>
    <x v="4"/>
    <n v="18"/>
    <n v="415.04"/>
    <x v="2"/>
    <x v="0"/>
    <x v="1"/>
    <x v="0"/>
    <n v="6723.6480000000001"/>
    <x v="4"/>
    <x v="2"/>
    <n v="0"/>
    <s v="REG100199"/>
    <s v="Cust 9707"/>
    <n v="33.58"/>
    <d v="2024-07-08T00:00:00"/>
    <d v="2024-07-13T00:00:00"/>
    <x v="2"/>
  </r>
  <r>
    <x v="162"/>
    <x v="3"/>
    <x v="6"/>
    <n v="19"/>
    <n v="165.38"/>
    <x v="0"/>
    <x v="0"/>
    <x v="2"/>
    <x v="1"/>
    <n v="2670.8870000000002"/>
    <x v="0"/>
    <x v="3"/>
    <n v="0"/>
    <s v="REG100200"/>
    <s v="Cust 9288"/>
    <n v="25.2"/>
    <d v="2023-02-08T00:00:00"/>
    <d v="2023-02-14T00:00:00"/>
    <x v="3"/>
  </r>
  <r>
    <x v="173"/>
    <x v="4"/>
    <x v="2"/>
    <n v="2"/>
    <n v="117.47"/>
    <x v="2"/>
    <x v="0"/>
    <x v="0"/>
    <x v="0"/>
    <n v="234.94"/>
    <x v="2"/>
    <x v="0"/>
    <n v="0"/>
    <s v="REG100201"/>
    <s v="Cust 1216"/>
    <n v="6.58"/>
    <d v="2024-04-09T00:00:00"/>
    <d v="2024-04-16T00:00:00"/>
    <x v="4"/>
  </r>
  <r>
    <x v="174"/>
    <x v="3"/>
    <x v="6"/>
    <n v="9"/>
    <n v="461.79"/>
    <x v="2"/>
    <x v="0"/>
    <x v="2"/>
    <x v="2"/>
    <n v="3532.6934999999999"/>
    <x v="1"/>
    <x v="3"/>
    <n v="0"/>
    <s v="REG100202"/>
    <s v="Cust 2489"/>
    <n v="47.81"/>
    <d v="2023-08-14T00:00:00"/>
    <d v="2023-08-18T00:00:00"/>
    <x v="3"/>
  </r>
  <r>
    <x v="175"/>
    <x v="4"/>
    <x v="5"/>
    <n v="19"/>
    <n v="208.72"/>
    <x v="3"/>
    <x v="1"/>
    <x v="3"/>
    <x v="2"/>
    <n v="3767.3960000000002"/>
    <x v="2"/>
    <x v="0"/>
    <n v="0"/>
    <s v="REG100203"/>
    <s v="Cust 7171"/>
    <n v="38.409999999999997"/>
    <d v="2024-09-02T00:00:00"/>
    <d v="2024-09-06T00:00:00"/>
    <x v="4"/>
  </r>
  <r>
    <x v="176"/>
    <x v="3"/>
    <x v="4"/>
    <n v="16"/>
    <n v="278.13"/>
    <x v="1"/>
    <x v="0"/>
    <x v="2"/>
    <x v="1"/>
    <n v="3782.5680000000002"/>
    <x v="4"/>
    <x v="1"/>
    <n v="0"/>
    <s v="REG100204"/>
    <s v="Cust 9125"/>
    <n v="24.29"/>
    <d v="2025-06-29T00:00:00"/>
    <d v="2025-07-04T00:00:00"/>
    <x v="3"/>
  </r>
  <r>
    <x v="177"/>
    <x v="4"/>
    <x v="0"/>
    <n v="2"/>
    <n v="580.19000000000005"/>
    <x v="0"/>
    <x v="0"/>
    <x v="3"/>
    <x v="4"/>
    <n v="1102.3610000000001"/>
    <x v="3"/>
    <x v="2"/>
    <n v="0"/>
    <s v="REG100205"/>
    <s v="Cust 9697"/>
    <n v="7.33"/>
    <d v="2025-04-02T00:00:00"/>
    <d v="2025-04-08T00:00:00"/>
    <x v="4"/>
  </r>
  <r>
    <x v="178"/>
    <x v="3"/>
    <x v="5"/>
    <n v="8"/>
    <n v="536.42999999999995"/>
    <x v="0"/>
    <x v="1"/>
    <x v="0"/>
    <x v="3"/>
    <n v="4291.4399999999996"/>
    <x v="4"/>
    <x v="3"/>
    <n v="1"/>
    <s v="REG100206"/>
    <s v="Cust 8171"/>
    <n v="14.58"/>
    <d v="2023-04-27T00:00:00"/>
    <d v="2023-05-07T00:00:00"/>
    <x v="3"/>
  </r>
  <r>
    <x v="179"/>
    <x v="0"/>
    <x v="1"/>
    <n v="1"/>
    <n v="94.33"/>
    <x v="1"/>
    <x v="0"/>
    <x v="0"/>
    <x v="3"/>
    <n v="94.33"/>
    <x v="0"/>
    <x v="3"/>
    <n v="0"/>
    <s v="REG100207"/>
    <s v="Cust 2004"/>
    <n v="49.17"/>
    <d v="2024-08-07T00:00:00"/>
    <d v="2024-08-17T00:00:00"/>
    <x v="0"/>
  </r>
  <r>
    <x v="180"/>
    <x v="4"/>
    <x v="0"/>
    <n v="16"/>
    <n v="489.94"/>
    <x v="2"/>
    <x v="1"/>
    <x v="1"/>
    <x v="2"/>
    <n v="7055.1360000000004"/>
    <x v="4"/>
    <x v="1"/>
    <n v="0"/>
    <s v="REG100208"/>
    <s v="Cust 4214"/>
    <n v="9.69"/>
    <d v="2023-04-15T00:00:00"/>
    <d v="2023-04-25T00:00:00"/>
    <x v="4"/>
  </r>
  <r>
    <x v="181"/>
    <x v="1"/>
    <x v="2"/>
    <n v="4"/>
    <n v="551.71"/>
    <x v="1"/>
    <x v="1"/>
    <x v="3"/>
    <x v="0"/>
    <n v="2096.498"/>
    <x v="1"/>
    <x v="3"/>
    <n v="1"/>
    <s v="REG100209"/>
    <s v="Cust 9837"/>
    <n v="26.32"/>
    <d v="2023-08-12T00:00:00"/>
    <d v="2023-08-15T00:00:00"/>
    <x v="1"/>
  </r>
  <r>
    <x v="182"/>
    <x v="4"/>
    <x v="6"/>
    <n v="17"/>
    <n v="595.57000000000005"/>
    <x v="3"/>
    <x v="1"/>
    <x v="2"/>
    <x v="5"/>
    <n v="8605.9865000000009"/>
    <x v="2"/>
    <x v="2"/>
    <n v="0"/>
    <s v="REG100210"/>
    <s v="Cust 2082"/>
    <n v="9.73"/>
    <d v="2023-06-19T00:00:00"/>
    <d v="2023-06-28T00:00:00"/>
    <x v="4"/>
  </r>
  <r>
    <x v="183"/>
    <x v="0"/>
    <x v="6"/>
    <n v="1"/>
    <n v="180.12"/>
    <x v="1"/>
    <x v="0"/>
    <x v="1"/>
    <x v="0"/>
    <n v="162.108"/>
    <x v="3"/>
    <x v="3"/>
    <n v="0"/>
    <s v="REG100211"/>
    <s v="Cust 3001"/>
    <n v="27.07"/>
    <d v="2023-12-29T00:00:00"/>
    <d v="2024-01-07T00:00:00"/>
    <x v="0"/>
  </r>
  <r>
    <x v="184"/>
    <x v="0"/>
    <x v="2"/>
    <n v="12"/>
    <n v="301.5"/>
    <x v="3"/>
    <x v="1"/>
    <x v="2"/>
    <x v="5"/>
    <n v="3075.3"/>
    <x v="2"/>
    <x v="0"/>
    <n v="1"/>
    <s v="REG100212"/>
    <s v="Cust 6161"/>
    <n v="43.67"/>
    <d v="2023-03-26T00:00:00"/>
    <d v="2023-03-30T00:00:00"/>
    <x v="0"/>
  </r>
  <r>
    <x v="185"/>
    <x v="1"/>
    <x v="1"/>
    <n v="20"/>
    <n v="273.55"/>
    <x v="3"/>
    <x v="1"/>
    <x v="2"/>
    <x v="2"/>
    <n v="4650.3499999999995"/>
    <x v="3"/>
    <x v="3"/>
    <n v="0"/>
    <s v="REG100213"/>
    <s v="Cust 5220"/>
    <n v="14.76"/>
    <d v="2023-09-01T00:00:00"/>
    <d v="2023-09-07T00:00:00"/>
    <x v="1"/>
  </r>
  <r>
    <x v="186"/>
    <x v="4"/>
    <x v="5"/>
    <n v="6"/>
    <n v="187.06"/>
    <x v="0"/>
    <x v="0"/>
    <x v="1"/>
    <x v="2"/>
    <n v="1010.124"/>
    <x v="3"/>
    <x v="0"/>
    <n v="0"/>
    <s v="REG100214"/>
    <s v="Cust 3386"/>
    <n v="11.03"/>
    <d v="2024-08-05T00:00:00"/>
    <d v="2024-08-13T00:00:00"/>
    <x v="4"/>
  </r>
  <r>
    <x v="187"/>
    <x v="2"/>
    <x v="3"/>
    <n v="16"/>
    <n v="562.52"/>
    <x v="3"/>
    <x v="1"/>
    <x v="0"/>
    <x v="2"/>
    <n v="9000.32"/>
    <x v="1"/>
    <x v="3"/>
    <n v="0"/>
    <s v="REG100215"/>
    <s v="Cust 1591"/>
    <n v="18.23"/>
    <d v="2025-01-23T00:00:00"/>
    <d v="2025-01-27T00:00:00"/>
    <x v="2"/>
  </r>
  <r>
    <x v="188"/>
    <x v="0"/>
    <x v="5"/>
    <n v="4"/>
    <n v="85.16"/>
    <x v="3"/>
    <x v="0"/>
    <x v="1"/>
    <x v="3"/>
    <n v="306.57600000000002"/>
    <x v="2"/>
    <x v="3"/>
    <n v="0"/>
    <s v="REG100216"/>
    <s v="Cust 3434"/>
    <n v="38.51"/>
    <d v="2023-05-16T00:00:00"/>
    <d v="2023-05-23T00:00:00"/>
    <x v="0"/>
  </r>
  <r>
    <x v="169"/>
    <x v="2"/>
    <x v="5"/>
    <n v="12"/>
    <n v="451.51"/>
    <x v="0"/>
    <x v="0"/>
    <x v="2"/>
    <x v="3"/>
    <n v="4605.402"/>
    <x v="0"/>
    <x v="2"/>
    <n v="0"/>
    <s v="REG100217"/>
    <s v="Cust 1501"/>
    <n v="9.5399999999999991"/>
    <d v="2023-02-14T00:00:00"/>
    <d v="2023-02-22T00:00:00"/>
    <x v="2"/>
  </r>
  <r>
    <x v="189"/>
    <x v="3"/>
    <x v="5"/>
    <n v="1"/>
    <n v="259.87"/>
    <x v="3"/>
    <x v="1"/>
    <x v="2"/>
    <x v="0"/>
    <n v="220.8895"/>
    <x v="1"/>
    <x v="0"/>
    <n v="0"/>
    <s v="REG100218"/>
    <s v="Cust 9683"/>
    <n v="19.2"/>
    <d v="2024-06-03T00:00:00"/>
    <d v="2024-06-12T00:00:00"/>
    <x v="3"/>
  </r>
  <r>
    <x v="190"/>
    <x v="3"/>
    <x v="5"/>
    <n v="20"/>
    <n v="268.25"/>
    <x v="3"/>
    <x v="1"/>
    <x v="3"/>
    <x v="4"/>
    <n v="5096.75"/>
    <x v="4"/>
    <x v="0"/>
    <n v="0"/>
    <s v="REG100219"/>
    <s v="Cust 5416"/>
    <n v="20.96"/>
    <d v="2023-11-08T00:00:00"/>
    <d v="2023-11-15T00:00:00"/>
    <x v="3"/>
  </r>
  <r>
    <x v="191"/>
    <x v="4"/>
    <x v="1"/>
    <n v="10"/>
    <n v="266.13"/>
    <x v="0"/>
    <x v="0"/>
    <x v="0"/>
    <x v="4"/>
    <n v="2661.3"/>
    <x v="1"/>
    <x v="2"/>
    <n v="0"/>
    <s v="REG100220"/>
    <s v="Cust 2153"/>
    <n v="21.01"/>
    <d v="2023-01-24T00:00:00"/>
    <d v="2023-01-26T00:00:00"/>
    <x v="4"/>
  </r>
  <r>
    <x v="192"/>
    <x v="4"/>
    <x v="0"/>
    <n v="18"/>
    <n v="493.06"/>
    <x v="3"/>
    <x v="0"/>
    <x v="3"/>
    <x v="4"/>
    <n v="8431.3259999999991"/>
    <x v="4"/>
    <x v="2"/>
    <n v="1"/>
    <s v="REG100221"/>
    <s v="Cust 3572"/>
    <n v="46.87"/>
    <d v="2025-03-20T00:00:00"/>
    <d v="2025-03-28T00:00:00"/>
    <x v="4"/>
  </r>
  <r>
    <x v="193"/>
    <x v="4"/>
    <x v="4"/>
    <n v="4"/>
    <n v="36.82"/>
    <x v="2"/>
    <x v="0"/>
    <x v="3"/>
    <x v="2"/>
    <n v="139.916"/>
    <x v="2"/>
    <x v="2"/>
    <n v="1"/>
    <s v="REG100222"/>
    <s v="Cust 6372"/>
    <n v="24.86"/>
    <d v="2024-02-22T00:00:00"/>
    <d v="2024-03-01T00:00:00"/>
    <x v="4"/>
  </r>
  <r>
    <x v="177"/>
    <x v="2"/>
    <x v="6"/>
    <n v="12"/>
    <n v="413.45"/>
    <x v="3"/>
    <x v="1"/>
    <x v="2"/>
    <x v="5"/>
    <n v="4217.1899999999996"/>
    <x v="4"/>
    <x v="0"/>
    <n v="0"/>
    <s v="REG100223"/>
    <s v="Cust 6109"/>
    <n v="23.25"/>
    <d v="2025-04-02T00:00:00"/>
    <d v="2025-04-10T00:00:00"/>
    <x v="2"/>
  </r>
  <r>
    <x v="103"/>
    <x v="2"/>
    <x v="3"/>
    <n v="19"/>
    <n v="446.25"/>
    <x v="0"/>
    <x v="1"/>
    <x v="1"/>
    <x v="0"/>
    <n v="7630.875"/>
    <x v="1"/>
    <x v="3"/>
    <n v="0"/>
    <s v="REG100224"/>
    <s v="Cust 5234"/>
    <n v="14.88"/>
    <d v="2025-06-12T00:00:00"/>
    <d v="2025-06-18T00:00:00"/>
    <x v="2"/>
  </r>
  <r>
    <x v="194"/>
    <x v="0"/>
    <x v="0"/>
    <n v="7"/>
    <n v="82.77"/>
    <x v="3"/>
    <x v="0"/>
    <x v="2"/>
    <x v="2"/>
    <n v="492.48149999999998"/>
    <x v="3"/>
    <x v="1"/>
    <n v="1"/>
    <s v="REG100225"/>
    <s v="Cust 5530"/>
    <n v="15.66"/>
    <d v="2023-05-13T00:00:00"/>
    <d v="2023-05-17T00:00:00"/>
    <x v="0"/>
  </r>
  <r>
    <x v="195"/>
    <x v="1"/>
    <x v="2"/>
    <n v="17"/>
    <n v="339.88"/>
    <x v="1"/>
    <x v="1"/>
    <x v="0"/>
    <x v="1"/>
    <n v="5777.96"/>
    <x v="4"/>
    <x v="3"/>
    <n v="0"/>
    <s v="REG100226"/>
    <s v="Cust 5398"/>
    <n v="44.86"/>
    <d v="2023-03-25T00:00:00"/>
    <d v="2023-03-28T00:00:00"/>
    <x v="1"/>
  </r>
  <r>
    <x v="196"/>
    <x v="1"/>
    <x v="6"/>
    <n v="19"/>
    <n v="364.32"/>
    <x v="0"/>
    <x v="1"/>
    <x v="2"/>
    <x v="2"/>
    <n v="5883.768"/>
    <x v="3"/>
    <x v="3"/>
    <n v="1"/>
    <s v="REG100227"/>
    <s v="Cust 3247"/>
    <n v="39.76"/>
    <d v="2024-11-22T00:00:00"/>
    <d v="2024-11-25T00:00:00"/>
    <x v="1"/>
  </r>
  <r>
    <x v="197"/>
    <x v="0"/>
    <x v="5"/>
    <n v="3"/>
    <n v="71.91"/>
    <x v="0"/>
    <x v="0"/>
    <x v="0"/>
    <x v="1"/>
    <n v="215.73"/>
    <x v="1"/>
    <x v="2"/>
    <n v="1"/>
    <s v="REG100228"/>
    <s v="Cust 7137"/>
    <n v="46.25"/>
    <d v="2023-07-07T00:00:00"/>
    <d v="2023-07-17T00:00:00"/>
    <x v="0"/>
  </r>
  <r>
    <x v="198"/>
    <x v="0"/>
    <x v="5"/>
    <n v="20"/>
    <n v="576.29999999999995"/>
    <x v="3"/>
    <x v="0"/>
    <x v="3"/>
    <x v="0"/>
    <n v="10949.7"/>
    <x v="2"/>
    <x v="3"/>
    <n v="0"/>
    <s v="REG100229"/>
    <s v="Cust 4627"/>
    <n v="25.22"/>
    <d v="2024-10-05T00:00:00"/>
    <d v="2024-10-09T00:00:00"/>
    <x v="0"/>
  </r>
  <r>
    <x v="199"/>
    <x v="4"/>
    <x v="0"/>
    <n v="7"/>
    <n v="120.6"/>
    <x v="0"/>
    <x v="0"/>
    <x v="0"/>
    <x v="4"/>
    <n v="844.19999999999993"/>
    <x v="0"/>
    <x v="2"/>
    <n v="0"/>
    <s v="REG100230"/>
    <s v="Cust 4878"/>
    <n v="43.8"/>
    <d v="2024-03-31T00:00:00"/>
    <d v="2024-04-08T00:00:00"/>
    <x v="4"/>
  </r>
  <r>
    <x v="159"/>
    <x v="4"/>
    <x v="6"/>
    <n v="8"/>
    <n v="96.19"/>
    <x v="1"/>
    <x v="0"/>
    <x v="3"/>
    <x v="3"/>
    <n v="731.04399999999998"/>
    <x v="3"/>
    <x v="1"/>
    <n v="0"/>
    <s v="REG100231"/>
    <s v="Cust 2779"/>
    <n v="34.07"/>
    <d v="2025-04-01T00:00:00"/>
    <d v="2025-04-04T00:00:00"/>
    <x v="4"/>
  </r>
  <r>
    <x v="200"/>
    <x v="4"/>
    <x v="6"/>
    <n v="14"/>
    <n v="471.17"/>
    <x v="1"/>
    <x v="0"/>
    <x v="3"/>
    <x v="3"/>
    <n v="6266.5609999999997"/>
    <x v="1"/>
    <x v="0"/>
    <n v="0"/>
    <s v="REG100232"/>
    <s v="Cust 8606"/>
    <n v="26.38"/>
    <d v="2023-08-23T00:00:00"/>
    <d v="2023-08-26T00:00:00"/>
    <x v="4"/>
  </r>
  <r>
    <x v="201"/>
    <x v="1"/>
    <x v="1"/>
    <n v="20"/>
    <n v="14.33"/>
    <x v="3"/>
    <x v="0"/>
    <x v="1"/>
    <x v="3"/>
    <n v="257.94000000000011"/>
    <x v="3"/>
    <x v="3"/>
    <n v="0"/>
    <s v="REG100233"/>
    <s v="Cust 9599"/>
    <n v="6.22"/>
    <d v="2024-08-14T00:00:00"/>
    <d v="2024-08-21T00:00:00"/>
    <x v="1"/>
  </r>
  <r>
    <x v="202"/>
    <x v="3"/>
    <x v="5"/>
    <n v="18"/>
    <n v="499.61"/>
    <x v="0"/>
    <x v="1"/>
    <x v="2"/>
    <x v="1"/>
    <n v="7644.0329999999994"/>
    <x v="3"/>
    <x v="3"/>
    <n v="0"/>
    <s v="REG100234"/>
    <s v="Cust 4500"/>
    <n v="9.64"/>
    <d v="2025-02-14T00:00:00"/>
    <d v="2025-02-19T00:00:00"/>
    <x v="3"/>
  </r>
  <r>
    <x v="203"/>
    <x v="4"/>
    <x v="4"/>
    <n v="14"/>
    <n v="16.329999999999998"/>
    <x v="0"/>
    <x v="0"/>
    <x v="1"/>
    <x v="4"/>
    <n v="205.75800000000001"/>
    <x v="3"/>
    <x v="2"/>
    <n v="0"/>
    <s v="REG100235"/>
    <s v="Cust 4173"/>
    <n v="22.72"/>
    <d v="2023-11-11T00:00:00"/>
    <d v="2023-11-16T00:00:00"/>
    <x v="4"/>
  </r>
  <r>
    <x v="204"/>
    <x v="3"/>
    <x v="2"/>
    <n v="17"/>
    <n v="480.62"/>
    <x v="2"/>
    <x v="0"/>
    <x v="2"/>
    <x v="3"/>
    <n v="6944.9589999999998"/>
    <x v="0"/>
    <x v="0"/>
    <n v="0"/>
    <s v="REG100236"/>
    <s v="Cust 7607"/>
    <n v="37.090000000000003"/>
    <d v="2024-04-01T00:00:00"/>
    <d v="2024-04-09T00:00:00"/>
    <x v="3"/>
  </r>
  <r>
    <x v="205"/>
    <x v="1"/>
    <x v="3"/>
    <n v="5"/>
    <n v="555.84"/>
    <x v="2"/>
    <x v="1"/>
    <x v="3"/>
    <x v="4"/>
    <n v="2640.24"/>
    <x v="2"/>
    <x v="3"/>
    <n v="0"/>
    <s v="REG100237"/>
    <s v="Cust 4768"/>
    <n v="29.4"/>
    <d v="2024-06-13T00:00:00"/>
    <d v="2024-06-20T00:00:00"/>
    <x v="1"/>
  </r>
  <r>
    <x v="206"/>
    <x v="2"/>
    <x v="3"/>
    <n v="18"/>
    <n v="174.03"/>
    <x v="0"/>
    <x v="0"/>
    <x v="1"/>
    <x v="2"/>
    <n v="2819.2860000000001"/>
    <x v="0"/>
    <x v="1"/>
    <n v="0"/>
    <s v="REG100238"/>
    <s v="Cust 5746"/>
    <n v="32.19"/>
    <d v="2023-11-28T00:00:00"/>
    <d v="2023-12-03T00:00:00"/>
    <x v="2"/>
  </r>
  <r>
    <x v="207"/>
    <x v="3"/>
    <x v="2"/>
    <n v="11"/>
    <n v="286.05"/>
    <x v="1"/>
    <x v="1"/>
    <x v="1"/>
    <x v="5"/>
    <n v="2831.895"/>
    <x v="3"/>
    <x v="3"/>
    <n v="1"/>
    <s v="REG100239"/>
    <s v="Cust 3002"/>
    <n v="8.59"/>
    <d v="2024-11-11T00:00:00"/>
    <d v="2024-11-16T00:00:00"/>
    <x v="3"/>
  </r>
  <r>
    <x v="208"/>
    <x v="2"/>
    <x v="2"/>
    <n v="16"/>
    <n v="40.729999999999997"/>
    <x v="3"/>
    <x v="1"/>
    <x v="0"/>
    <x v="1"/>
    <n v="651.67999999999995"/>
    <x v="2"/>
    <x v="3"/>
    <n v="0"/>
    <s v="REG100240"/>
    <s v="Cust 3237"/>
    <n v="24.72"/>
    <d v="2024-11-04T00:00:00"/>
    <d v="2024-11-08T00:00:00"/>
    <x v="2"/>
  </r>
  <r>
    <x v="209"/>
    <x v="3"/>
    <x v="3"/>
    <n v="11"/>
    <n v="468.22"/>
    <x v="3"/>
    <x v="1"/>
    <x v="0"/>
    <x v="3"/>
    <n v="5150.42"/>
    <x v="3"/>
    <x v="2"/>
    <n v="0"/>
    <s v="REG100241"/>
    <s v="Cust 6437"/>
    <n v="19.920000000000002"/>
    <d v="2023-01-01T00:00:00"/>
    <d v="2023-01-11T00:00:00"/>
    <x v="3"/>
  </r>
  <r>
    <x v="13"/>
    <x v="2"/>
    <x v="5"/>
    <n v="1"/>
    <n v="411.54"/>
    <x v="2"/>
    <x v="1"/>
    <x v="1"/>
    <x v="0"/>
    <n v="370.38600000000002"/>
    <x v="1"/>
    <x v="2"/>
    <n v="0"/>
    <s v="REG100242"/>
    <s v="Cust 8806"/>
    <n v="7.46"/>
    <d v="2025-01-18T00:00:00"/>
    <d v="2025-01-20T00:00:00"/>
    <x v="2"/>
  </r>
  <r>
    <x v="210"/>
    <x v="3"/>
    <x v="6"/>
    <n v="13"/>
    <n v="134.19999999999999"/>
    <x v="1"/>
    <x v="0"/>
    <x v="3"/>
    <x v="0"/>
    <n v="1657.37"/>
    <x v="2"/>
    <x v="2"/>
    <n v="0"/>
    <s v="REG100243"/>
    <s v="Cust 8678"/>
    <n v="9.6"/>
    <d v="2023-05-02T00:00:00"/>
    <d v="2023-05-10T00:00:00"/>
    <x v="3"/>
  </r>
  <r>
    <x v="211"/>
    <x v="4"/>
    <x v="6"/>
    <n v="10"/>
    <n v="351.23"/>
    <x v="0"/>
    <x v="1"/>
    <x v="2"/>
    <x v="2"/>
    <n v="2985.4549999999999"/>
    <x v="0"/>
    <x v="3"/>
    <n v="0"/>
    <s v="REG100244"/>
    <s v="Cust 9649"/>
    <n v="42.74"/>
    <d v="2025-05-27T00:00:00"/>
    <d v="2025-06-02T00:00:00"/>
    <x v="4"/>
  </r>
  <r>
    <x v="212"/>
    <x v="1"/>
    <x v="4"/>
    <n v="14"/>
    <n v="551.14"/>
    <x v="2"/>
    <x v="0"/>
    <x v="1"/>
    <x v="4"/>
    <n v="6944.3639999999996"/>
    <x v="0"/>
    <x v="0"/>
    <n v="1"/>
    <s v="REG100245"/>
    <s v="Cust 1960"/>
    <n v="12.35"/>
    <d v="2024-12-27T00:00:00"/>
    <d v="2025-01-05T00:00:00"/>
    <x v="1"/>
  </r>
  <r>
    <x v="213"/>
    <x v="4"/>
    <x v="3"/>
    <n v="2"/>
    <n v="131.13"/>
    <x v="0"/>
    <x v="1"/>
    <x v="1"/>
    <x v="0"/>
    <n v="236.03399999999999"/>
    <x v="3"/>
    <x v="3"/>
    <n v="0"/>
    <s v="REG100246"/>
    <s v="Cust 3910"/>
    <n v="14.74"/>
    <d v="2025-03-18T00:00:00"/>
    <d v="2025-03-24T00:00:00"/>
    <x v="4"/>
  </r>
  <r>
    <x v="214"/>
    <x v="0"/>
    <x v="0"/>
    <n v="6"/>
    <n v="595.11"/>
    <x v="2"/>
    <x v="0"/>
    <x v="0"/>
    <x v="4"/>
    <n v="3570.66"/>
    <x v="4"/>
    <x v="1"/>
    <n v="1"/>
    <s v="REG100247"/>
    <s v="Cust 4944"/>
    <n v="28.92"/>
    <d v="2024-03-24T00:00:00"/>
    <d v="2024-03-31T00:00:00"/>
    <x v="0"/>
  </r>
  <r>
    <x v="215"/>
    <x v="0"/>
    <x v="0"/>
    <n v="6"/>
    <n v="516.66"/>
    <x v="2"/>
    <x v="0"/>
    <x v="3"/>
    <x v="5"/>
    <n v="2944.962"/>
    <x v="0"/>
    <x v="3"/>
    <n v="1"/>
    <s v="REG100248"/>
    <s v="Cust 9618"/>
    <n v="5.15"/>
    <d v="2024-12-26T00:00:00"/>
    <d v="2025-01-03T00:00:00"/>
    <x v="0"/>
  </r>
  <r>
    <x v="6"/>
    <x v="2"/>
    <x v="2"/>
    <n v="6"/>
    <n v="202.57"/>
    <x v="3"/>
    <x v="1"/>
    <x v="3"/>
    <x v="0"/>
    <n v="1154.6489999999999"/>
    <x v="1"/>
    <x v="0"/>
    <n v="0"/>
    <s v="REG100249"/>
    <s v="Cust 2279"/>
    <n v="24.39"/>
    <d v="2023-01-11T00:00:00"/>
    <d v="2023-01-14T00:00:00"/>
    <x v="2"/>
  </r>
  <r>
    <x v="216"/>
    <x v="1"/>
    <x v="0"/>
    <n v="13"/>
    <n v="306.16000000000003"/>
    <x v="1"/>
    <x v="0"/>
    <x v="2"/>
    <x v="2"/>
    <n v="3383.0680000000002"/>
    <x v="4"/>
    <x v="1"/>
    <n v="0"/>
    <s v="REG100250"/>
    <s v="Cust 4689"/>
    <n v="25.16"/>
    <d v="2025-06-01T00:00:00"/>
    <d v="2025-06-10T00:00:00"/>
    <x v="1"/>
  </r>
  <r>
    <x v="217"/>
    <x v="0"/>
    <x v="2"/>
    <n v="11"/>
    <n v="472.74"/>
    <x v="3"/>
    <x v="1"/>
    <x v="2"/>
    <x v="3"/>
    <n v="4420.1190000000006"/>
    <x v="2"/>
    <x v="3"/>
    <n v="1"/>
    <s v="REG100251"/>
    <s v="Cust 7381"/>
    <n v="16.8"/>
    <d v="2024-09-26T00:00:00"/>
    <d v="2024-10-01T00:00:00"/>
    <x v="0"/>
  </r>
  <r>
    <x v="218"/>
    <x v="0"/>
    <x v="1"/>
    <n v="20"/>
    <n v="337.37"/>
    <x v="2"/>
    <x v="1"/>
    <x v="1"/>
    <x v="4"/>
    <n v="6072.66"/>
    <x v="1"/>
    <x v="3"/>
    <n v="0"/>
    <s v="REG100252"/>
    <s v="Cust 2724"/>
    <n v="43.17"/>
    <d v="2024-08-10T00:00:00"/>
    <d v="2024-08-17T00:00:00"/>
    <x v="0"/>
  </r>
  <r>
    <x v="219"/>
    <x v="1"/>
    <x v="1"/>
    <n v="12"/>
    <n v="34.24"/>
    <x v="2"/>
    <x v="1"/>
    <x v="1"/>
    <x v="2"/>
    <n v="369.79199999999997"/>
    <x v="4"/>
    <x v="3"/>
    <n v="0"/>
    <s v="REG100253"/>
    <s v="Cust 2823"/>
    <n v="17.64"/>
    <d v="2025-03-02T00:00:00"/>
    <d v="2025-03-10T00:00:00"/>
    <x v="1"/>
  </r>
  <r>
    <x v="220"/>
    <x v="0"/>
    <x v="5"/>
    <n v="4"/>
    <n v="477.05"/>
    <x v="0"/>
    <x v="0"/>
    <x v="0"/>
    <x v="3"/>
    <n v="1908.2"/>
    <x v="2"/>
    <x v="2"/>
    <n v="0"/>
    <s v="REG100254"/>
    <s v="Cust 9402"/>
    <n v="45.54"/>
    <d v="2023-02-21T00:00:00"/>
    <d v="2023-03-02T00:00:00"/>
    <x v="0"/>
  </r>
  <r>
    <x v="221"/>
    <x v="0"/>
    <x v="0"/>
    <n v="6"/>
    <n v="562.92999999999995"/>
    <x v="2"/>
    <x v="1"/>
    <x v="0"/>
    <x v="1"/>
    <n v="3377.58"/>
    <x v="2"/>
    <x v="2"/>
    <n v="0"/>
    <s v="REG100255"/>
    <s v="Cust 6561"/>
    <n v="43.73"/>
    <d v="2024-11-20T00:00:00"/>
    <d v="2024-11-27T00:00:00"/>
    <x v="0"/>
  </r>
  <r>
    <x v="222"/>
    <x v="0"/>
    <x v="3"/>
    <n v="20"/>
    <n v="18.29"/>
    <x v="0"/>
    <x v="1"/>
    <x v="0"/>
    <x v="4"/>
    <n v="365.8"/>
    <x v="3"/>
    <x v="0"/>
    <n v="1"/>
    <s v="REG100256"/>
    <s v="Cust 3116"/>
    <n v="35.369999999999997"/>
    <d v="2023-08-26T00:00:00"/>
    <d v="2023-08-29T00:00:00"/>
    <x v="0"/>
  </r>
  <r>
    <x v="223"/>
    <x v="1"/>
    <x v="4"/>
    <n v="7"/>
    <n v="208.86"/>
    <x v="0"/>
    <x v="1"/>
    <x v="0"/>
    <x v="2"/>
    <n v="1462.02"/>
    <x v="4"/>
    <x v="0"/>
    <n v="0"/>
    <s v="REG100257"/>
    <s v="Cust 1015"/>
    <n v="20.64"/>
    <d v="2024-01-01T00:00:00"/>
    <d v="2024-01-08T00:00:00"/>
    <x v="1"/>
  </r>
  <r>
    <x v="224"/>
    <x v="1"/>
    <x v="6"/>
    <n v="12"/>
    <n v="330.36"/>
    <x v="3"/>
    <x v="1"/>
    <x v="3"/>
    <x v="4"/>
    <n v="3766.1039999999998"/>
    <x v="4"/>
    <x v="2"/>
    <n v="0"/>
    <s v="REG100258"/>
    <s v="Cust 1207"/>
    <n v="48.33"/>
    <d v="2024-11-24T00:00:00"/>
    <d v="2024-11-30T00:00:00"/>
    <x v="1"/>
  </r>
  <r>
    <x v="225"/>
    <x v="1"/>
    <x v="5"/>
    <n v="7"/>
    <n v="50.26"/>
    <x v="2"/>
    <x v="1"/>
    <x v="2"/>
    <x v="4"/>
    <n v="299.04700000000003"/>
    <x v="4"/>
    <x v="3"/>
    <n v="0"/>
    <s v="REG100259"/>
    <s v="Cust 2501"/>
    <n v="17.12"/>
    <d v="2024-08-25T00:00:00"/>
    <d v="2024-09-01T00:00:00"/>
    <x v="1"/>
  </r>
  <r>
    <x v="226"/>
    <x v="1"/>
    <x v="0"/>
    <n v="2"/>
    <n v="374.59"/>
    <x v="2"/>
    <x v="0"/>
    <x v="2"/>
    <x v="3"/>
    <n v="636.803"/>
    <x v="0"/>
    <x v="1"/>
    <n v="0"/>
    <s v="REG100260"/>
    <s v="Cust 2330"/>
    <n v="34.64"/>
    <d v="2023-06-10T00:00:00"/>
    <d v="2023-06-18T00:00:00"/>
    <x v="1"/>
  </r>
  <r>
    <x v="227"/>
    <x v="2"/>
    <x v="6"/>
    <n v="7"/>
    <n v="467.6"/>
    <x v="1"/>
    <x v="1"/>
    <x v="1"/>
    <x v="3"/>
    <n v="2945.88"/>
    <x v="3"/>
    <x v="3"/>
    <n v="0"/>
    <s v="REG100261"/>
    <s v="Cust 7436"/>
    <n v="15.64"/>
    <d v="2024-12-18T00:00:00"/>
    <d v="2024-12-26T00:00:00"/>
    <x v="2"/>
  </r>
  <r>
    <x v="228"/>
    <x v="0"/>
    <x v="3"/>
    <n v="3"/>
    <n v="376.24"/>
    <x v="1"/>
    <x v="1"/>
    <x v="3"/>
    <x v="2"/>
    <n v="1072.2840000000001"/>
    <x v="3"/>
    <x v="0"/>
    <n v="1"/>
    <s v="REG100262"/>
    <s v="Cust 2762"/>
    <n v="6.15"/>
    <d v="2023-08-28T00:00:00"/>
    <d v="2023-09-01T00:00:00"/>
    <x v="0"/>
  </r>
  <r>
    <x v="229"/>
    <x v="4"/>
    <x v="1"/>
    <n v="13"/>
    <n v="140.49"/>
    <x v="1"/>
    <x v="1"/>
    <x v="0"/>
    <x v="0"/>
    <n v="1826.37"/>
    <x v="3"/>
    <x v="1"/>
    <n v="0"/>
    <s v="REG100263"/>
    <s v="Cust 3599"/>
    <n v="17.690000000000001"/>
    <d v="2023-01-22T00:00:00"/>
    <d v="2023-01-31T00:00:00"/>
    <x v="4"/>
  </r>
  <r>
    <x v="230"/>
    <x v="2"/>
    <x v="4"/>
    <n v="3"/>
    <n v="506.33"/>
    <x v="0"/>
    <x v="1"/>
    <x v="2"/>
    <x v="2"/>
    <n v="1291.1415"/>
    <x v="3"/>
    <x v="0"/>
    <n v="0"/>
    <s v="REG100264"/>
    <s v="Cust 4127"/>
    <n v="25.71"/>
    <d v="2023-02-07T00:00:00"/>
    <d v="2023-02-14T00:00:00"/>
    <x v="2"/>
  </r>
  <r>
    <x v="231"/>
    <x v="1"/>
    <x v="4"/>
    <n v="8"/>
    <n v="138.72999999999999"/>
    <x v="1"/>
    <x v="0"/>
    <x v="3"/>
    <x v="2"/>
    <n v="1054.348"/>
    <x v="0"/>
    <x v="2"/>
    <n v="1"/>
    <s v="REG100265"/>
    <s v="Cust 6855"/>
    <n v="48.51"/>
    <d v="2023-11-22T00:00:00"/>
    <d v="2023-11-29T00:00:00"/>
    <x v="1"/>
  </r>
  <r>
    <x v="232"/>
    <x v="4"/>
    <x v="2"/>
    <n v="6"/>
    <n v="134.53"/>
    <x v="2"/>
    <x v="1"/>
    <x v="2"/>
    <x v="3"/>
    <n v="686.10300000000007"/>
    <x v="3"/>
    <x v="0"/>
    <n v="1"/>
    <s v="REG100266"/>
    <s v="Cust 7017"/>
    <n v="33.5"/>
    <d v="2023-01-25T00:00:00"/>
    <d v="2023-01-29T00:00:00"/>
    <x v="4"/>
  </r>
  <r>
    <x v="9"/>
    <x v="1"/>
    <x v="5"/>
    <n v="18"/>
    <n v="375.96"/>
    <x v="3"/>
    <x v="0"/>
    <x v="3"/>
    <x v="4"/>
    <n v="6428.9159999999993"/>
    <x v="3"/>
    <x v="1"/>
    <n v="0"/>
    <s v="REG100267"/>
    <s v="Cust 6957"/>
    <n v="26.78"/>
    <d v="2025-03-05T00:00:00"/>
    <d v="2025-03-09T00:00:00"/>
    <x v="1"/>
  </r>
  <r>
    <x v="233"/>
    <x v="2"/>
    <x v="6"/>
    <n v="10"/>
    <n v="538.47"/>
    <x v="3"/>
    <x v="1"/>
    <x v="1"/>
    <x v="5"/>
    <n v="4846.2299999999996"/>
    <x v="1"/>
    <x v="2"/>
    <n v="1"/>
    <s v="REG100268"/>
    <s v="Cust 9822"/>
    <n v="17.25"/>
    <d v="2023-02-02T00:00:00"/>
    <d v="2023-02-12T00:00:00"/>
    <x v="2"/>
  </r>
  <r>
    <x v="56"/>
    <x v="2"/>
    <x v="5"/>
    <n v="15"/>
    <n v="505.44"/>
    <x v="1"/>
    <x v="0"/>
    <x v="1"/>
    <x v="1"/>
    <n v="6823.4400000000014"/>
    <x v="0"/>
    <x v="1"/>
    <n v="0"/>
    <s v="REG100269"/>
    <s v="Cust 7425"/>
    <n v="37.5"/>
    <d v="2023-05-24T00:00:00"/>
    <d v="2023-06-01T00:00:00"/>
    <x v="2"/>
  </r>
  <r>
    <x v="234"/>
    <x v="1"/>
    <x v="6"/>
    <n v="4"/>
    <n v="312.08999999999997"/>
    <x v="2"/>
    <x v="0"/>
    <x v="2"/>
    <x v="4"/>
    <n v="1061.106"/>
    <x v="3"/>
    <x v="1"/>
    <n v="1"/>
    <s v="REG100270"/>
    <s v="Cust 6468"/>
    <n v="17.989999999999998"/>
    <d v="2024-05-30T00:00:00"/>
    <d v="2024-06-06T00:00:00"/>
    <x v="1"/>
  </r>
  <r>
    <x v="145"/>
    <x v="4"/>
    <x v="2"/>
    <n v="15"/>
    <n v="579.58000000000004"/>
    <x v="2"/>
    <x v="1"/>
    <x v="2"/>
    <x v="0"/>
    <n v="7389.6450000000004"/>
    <x v="2"/>
    <x v="3"/>
    <n v="0"/>
    <s v="REG100271"/>
    <s v="Cust 8897"/>
    <n v="31.22"/>
    <d v="2024-01-23T00:00:00"/>
    <d v="2024-01-31T00:00:00"/>
    <x v="4"/>
  </r>
  <r>
    <x v="235"/>
    <x v="2"/>
    <x v="3"/>
    <n v="10"/>
    <n v="217.43"/>
    <x v="1"/>
    <x v="1"/>
    <x v="2"/>
    <x v="5"/>
    <n v="1848.155"/>
    <x v="2"/>
    <x v="0"/>
    <n v="0"/>
    <s v="REG100272"/>
    <s v="Cust 9816"/>
    <n v="33.14"/>
    <d v="2023-02-06T00:00:00"/>
    <d v="2023-02-15T00:00:00"/>
    <x v="2"/>
  </r>
  <r>
    <x v="236"/>
    <x v="4"/>
    <x v="1"/>
    <n v="15"/>
    <n v="476.15"/>
    <x v="0"/>
    <x v="0"/>
    <x v="3"/>
    <x v="3"/>
    <n v="6785.1374999999998"/>
    <x v="0"/>
    <x v="1"/>
    <n v="0"/>
    <s v="REG100273"/>
    <s v="Cust 8227"/>
    <n v="24.48"/>
    <d v="2024-07-15T00:00:00"/>
    <d v="2024-07-19T00:00:00"/>
    <x v="4"/>
  </r>
  <r>
    <x v="55"/>
    <x v="0"/>
    <x v="3"/>
    <n v="5"/>
    <n v="89.03"/>
    <x v="2"/>
    <x v="0"/>
    <x v="1"/>
    <x v="2"/>
    <n v="400.63499999999999"/>
    <x v="3"/>
    <x v="2"/>
    <n v="0"/>
    <s v="REG100274"/>
    <s v="Cust 4990"/>
    <n v="22.42"/>
    <d v="2025-03-06T00:00:00"/>
    <d v="2025-03-16T00:00:00"/>
    <x v="0"/>
  </r>
  <r>
    <x v="237"/>
    <x v="3"/>
    <x v="1"/>
    <n v="17"/>
    <n v="6.88"/>
    <x v="1"/>
    <x v="1"/>
    <x v="1"/>
    <x v="2"/>
    <n v="105.264"/>
    <x v="1"/>
    <x v="3"/>
    <n v="0"/>
    <s v="REG100275"/>
    <s v="Cust 5834"/>
    <n v="42.37"/>
    <d v="2023-07-29T00:00:00"/>
    <d v="2023-08-08T00:00:00"/>
    <x v="3"/>
  </r>
  <r>
    <x v="238"/>
    <x v="2"/>
    <x v="6"/>
    <n v="6"/>
    <n v="355.26"/>
    <x v="3"/>
    <x v="1"/>
    <x v="1"/>
    <x v="5"/>
    <n v="1918.404"/>
    <x v="0"/>
    <x v="2"/>
    <n v="0"/>
    <s v="REG100276"/>
    <s v="Cust 7330"/>
    <n v="30.49"/>
    <d v="2023-07-26T00:00:00"/>
    <d v="2023-07-29T00:00:00"/>
    <x v="2"/>
  </r>
  <r>
    <x v="10"/>
    <x v="4"/>
    <x v="5"/>
    <n v="8"/>
    <n v="294.76"/>
    <x v="2"/>
    <x v="1"/>
    <x v="1"/>
    <x v="4"/>
    <n v="2122.2719999999999"/>
    <x v="0"/>
    <x v="1"/>
    <n v="0"/>
    <s v="REG100277"/>
    <s v="Cust 5273"/>
    <n v="36.04"/>
    <d v="2024-04-10T00:00:00"/>
    <d v="2024-04-13T00:00:00"/>
    <x v="4"/>
  </r>
  <r>
    <x v="239"/>
    <x v="2"/>
    <x v="2"/>
    <n v="16"/>
    <n v="60.69"/>
    <x v="1"/>
    <x v="0"/>
    <x v="0"/>
    <x v="3"/>
    <n v="971.04"/>
    <x v="2"/>
    <x v="2"/>
    <n v="0"/>
    <s v="REG100278"/>
    <s v="Cust 6138"/>
    <n v="7.03"/>
    <d v="2025-01-24T00:00:00"/>
    <d v="2025-01-27T00:00:00"/>
    <x v="2"/>
  </r>
  <r>
    <x v="240"/>
    <x v="4"/>
    <x v="0"/>
    <n v="2"/>
    <n v="559.63"/>
    <x v="0"/>
    <x v="0"/>
    <x v="1"/>
    <x v="4"/>
    <n v="1007.3339999999999"/>
    <x v="2"/>
    <x v="2"/>
    <n v="1"/>
    <s v="REG100279"/>
    <s v="Cust 2084"/>
    <n v="42.34"/>
    <d v="2025-04-27T00:00:00"/>
    <d v="2025-05-03T00:00:00"/>
    <x v="4"/>
  </r>
  <r>
    <x v="241"/>
    <x v="0"/>
    <x v="1"/>
    <n v="4"/>
    <n v="232.66"/>
    <x v="0"/>
    <x v="0"/>
    <x v="1"/>
    <x v="2"/>
    <n v="837.57600000000002"/>
    <x v="0"/>
    <x v="2"/>
    <n v="0"/>
    <s v="REG100280"/>
    <s v="Cust 2799"/>
    <n v="11.88"/>
    <d v="2025-02-20T00:00:00"/>
    <d v="2025-02-23T00:00:00"/>
    <x v="0"/>
  </r>
  <r>
    <x v="242"/>
    <x v="2"/>
    <x v="6"/>
    <n v="10"/>
    <n v="230.87"/>
    <x v="1"/>
    <x v="1"/>
    <x v="2"/>
    <x v="5"/>
    <n v="1962.395"/>
    <x v="3"/>
    <x v="1"/>
    <n v="0"/>
    <s v="REG100281"/>
    <s v="Cust 5234"/>
    <n v="28.33"/>
    <d v="2023-09-14T00:00:00"/>
    <d v="2023-09-19T00:00:00"/>
    <x v="2"/>
  </r>
  <r>
    <x v="243"/>
    <x v="4"/>
    <x v="5"/>
    <n v="7"/>
    <n v="353.9"/>
    <x v="2"/>
    <x v="0"/>
    <x v="2"/>
    <x v="1"/>
    <n v="2105.7049999999999"/>
    <x v="3"/>
    <x v="1"/>
    <n v="1"/>
    <s v="REG100282"/>
    <s v="Cust 3051"/>
    <n v="15.74"/>
    <d v="2024-04-17T00:00:00"/>
    <d v="2024-04-27T00:00:00"/>
    <x v="4"/>
  </r>
  <r>
    <x v="244"/>
    <x v="3"/>
    <x v="5"/>
    <n v="12"/>
    <n v="561.07000000000005"/>
    <x v="1"/>
    <x v="1"/>
    <x v="0"/>
    <x v="1"/>
    <n v="6732.84"/>
    <x v="1"/>
    <x v="3"/>
    <n v="0"/>
    <s v="REG100283"/>
    <s v="Cust 5456"/>
    <n v="35.020000000000003"/>
    <d v="2024-11-14T00:00:00"/>
    <d v="2024-11-18T00:00:00"/>
    <x v="3"/>
  </r>
  <r>
    <x v="245"/>
    <x v="2"/>
    <x v="3"/>
    <n v="15"/>
    <n v="247.21"/>
    <x v="3"/>
    <x v="0"/>
    <x v="1"/>
    <x v="5"/>
    <n v="3337.335"/>
    <x v="1"/>
    <x v="3"/>
    <n v="0"/>
    <s v="REG100284"/>
    <s v="Cust 6029"/>
    <n v="45.42"/>
    <d v="2024-07-25T00:00:00"/>
    <d v="2024-07-27T00:00:00"/>
    <x v="2"/>
  </r>
  <r>
    <x v="186"/>
    <x v="0"/>
    <x v="1"/>
    <n v="19"/>
    <n v="271.22000000000003"/>
    <x v="1"/>
    <x v="0"/>
    <x v="1"/>
    <x v="1"/>
    <n v="4637.8620000000001"/>
    <x v="2"/>
    <x v="2"/>
    <n v="0"/>
    <s v="REG100285"/>
    <s v="Cust 4002"/>
    <n v="35.33"/>
    <d v="2024-08-05T00:00:00"/>
    <d v="2024-08-15T00:00:00"/>
    <x v="0"/>
  </r>
  <r>
    <x v="187"/>
    <x v="4"/>
    <x v="0"/>
    <n v="6"/>
    <n v="532.54"/>
    <x v="1"/>
    <x v="0"/>
    <x v="0"/>
    <x v="4"/>
    <n v="3195.24"/>
    <x v="3"/>
    <x v="3"/>
    <n v="1"/>
    <s v="REG100286"/>
    <s v="Cust 5830"/>
    <n v="25.09"/>
    <d v="2025-01-23T00:00:00"/>
    <d v="2025-02-02T00:00:00"/>
    <x v="4"/>
  </r>
  <r>
    <x v="240"/>
    <x v="4"/>
    <x v="6"/>
    <n v="16"/>
    <n v="329.54"/>
    <x v="1"/>
    <x v="0"/>
    <x v="2"/>
    <x v="5"/>
    <n v="4481.7440000000006"/>
    <x v="3"/>
    <x v="0"/>
    <n v="1"/>
    <s v="REG100287"/>
    <s v="Cust 8088"/>
    <n v="39.39"/>
    <d v="2025-04-27T00:00:00"/>
    <d v="2025-05-03T00:00:00"/>
    <x v="4"/>
  </r>
  <r>
    <x v="246"/>
    <x v="1"/>
    <x v="1"/>
    <n v="6"/>
    <n v="170.1"/>
    <x v="1"/>
    <x v="1"/>
    <x v="0"/>
    <x v="0"/>
    <n v="1020.6"/>
    <x v="1"/>
    <x v="0"/>
    <n v="0"/>
    <s v="REG100288"/>
    <s v="Cust 6455"/>
    <n v="38.61"/>
    <d v="2024-09-20T00:00:00"/>
    <d v="2024-09-23T00:00:00"/>
    <x v="1"/>
  </r>
  <r>
    <x v="247"/>
    <x v="4"/>
    <x v="0"/>
    <n v="19"/>
    <n v="212.83"/>
    <x v="3"/>
    <x v="0"/>
    <x v="2"/>
    <x v="3"/>
    <n v="3437.2044999999998"/>
    <x v="0"/>
    <x v="2"/>
    <n v="0"/>
    <s v="REG100289"/>
    <s v="Cust 4117"/>
    <n v="42.88"/>
    <d v="2023-09-08T00:00:00"/>
    <d v="2023-09-15T00:00:00"/>
    <x v="4"/>
  </r>
  <r>
    <x v="248"/>
    <x v="1"/>
    <x v="0"/>
    <n v="5"/>
    <n v="578.91999999999996"/>
    <x v="1"/>
    <x v="0"/>
    <x v="0"/>
    <x v="5"/>
    <n v="2894.6"/>
    <x v="2"/>
    <x v="3"/>
    <n v="1"/>
    <s v="REG100290"/>
    <s v="Cust 1385"/>
    <n v="44.09"/>
    <d v="2025-04-20T00:00:00"/>
    <d v="2025-04-28T00:00:00"/>
    <x v="1"/>
  </r>
  <r>
    <x v="249"/>
    <x v="2"/>
    <x v="1"/>
    <n v="3"/>
    <n v="456.92"/>
    <x v="2"/>
    <x v="1"/>
    <x v="1"/>
    <x v="2"/>
    <n v="1233.684"/>
    <x v="1"/>
    <x v="0"/>
    <n v="0"/>
    <s v="REG100291"/>
    <s v="Cust 5185"/>
    <n v="17.57"/>
    <d v="2024-06-20T00:00:00"/>
    <d v="2024-06-27T00:00:00"/>
    <x v="2"/>
  </r>
  <r>
    <x v="6"/>
    <x v="0"/>
    <x v="5"/>
    <n v="12"/>
    <n v="521.53"/>
    <x v="3"/>
    <x v="1"/>
    <x v="0"/>
    <x v="0"/>
    <n v="6258.36"/>
    <x v="2"/>
    <x v="1"/>
    <n v="1"/>
    <s v="REG100292"/>
    <s v="Cust 8704"/>
    <n v="49.59"/>
    <d v="2023-01-11T00:00:00"/>
    <d v="2023-01-20T00:00:00"/>
    <x v="0"/>
  </r>
  <r>
    <x v="250"/>
    <x v="2"/>
    <x v="2"/>
    <n v="17"/>
    <n v="468.19"/>
    <x v="3"/>
    <x v="1"/>
    <x v="3"/>
    <x v="4"/>
    <n v="7561.2684999999992"/>
    <x v="4"/>
    <x v="3"/>
    <n v="0"/>
    <s v="REG100293"/>
    <s v="Cust 3528"/>
    <n v="13.84"/>
    <d v="2023-07-04T00:00:00"/>
    <d v="2023-07-07T00:00:00"/>
    <x v="2"/>
  </r>
  <r>
    <x v="251"/>
    <x v="3"/>
    <x v="4"/>
    <n v="9"/>
    <n v="8.81"/>
    <x v="3"/>
    <x v="1"/>
    <x v="2"/>
    <x v="1"/>
    <n v="67.396500000000003"/>
    <x v="0"/>
    <x v="1"/>
    <n v="0"/>
    <s v="REG100294"/>
    <s v="Cust 3907"/>
    <n v="42.7"/>
    <d v="2025-03-08T00:00:00"/>
    <d v="2025-03-18T00:00:00"/>
    <x v="3"/>
  </r>
  <r>
    <x v="252"/>
    <x v="1"/>
    <x v="3"/>
    <n v="6"/>
    <n v="521.1"/>
    <x v="1"/>
    <x v="0"/>
    <x v="2"/>
    <x v="2"/>
    <n v="2657.61"/>
    <x v="4"/>
    <x v="3"/>
    <n v="0"/>
    <s v="REG100295"/>
    <s v="Cust 9005"/>
    <n v="31.14"/>
    <d v="2025-02-10T00:00:00"/>
    <d v="2025-02-12T00:00:00"/>
    <x v="1"/>
  </r>
  <r>
    <x v="253"/>
    <x v="4"/>
    <x v="4"/>
    <n v="10"/>
    <n v="289.91000000000003"/>
    <x v="2"/>
    <x v="1"/>
    <x v="1"/>
    <x v="4"/>
    <n v="2609.190000000001"/>
    <x v="4"/>
    <x v="1"/>
    <n v="0"/>
    <s v="REG100296"/>
    <s v="Cust 3635"/>
    <n v="32.96"/>
    <d v="2025-03-17T00:00:00"/>
    <d v="2025-03-21T00:00:00"/>
    <x v="4"/>
  </r>
  <r>
    <x v="254"/>
    <x v="0"/>
    <x v="6"/>
    <n v="3"/>
    <n v="142.27000000000001"/>
    <x v="3"/>
    <x v="1"/>
    <x v="3"/>
    <x v="5"/>
    <n v="405.46949999999998"/>
    <x v="0"/>
    <x v="1"/>
    <n v="0"/>
    <s v="REG100297"/>
    <s v="Cust 2122"/>
    <n v="32.799999999999997"/>
    <d v="2023-11-09T00:00:00"/>
    <d v="2023-11-15T00:00:00"/>
    <x v="0"/>
  </r>
  <r>
    <x v="18"/>
    <x v="3"/>
    <x v="6"/>
    <n v="15"/>
    <n v="354.09"/>
    <x v="0"/>
    <x v="1"/>
    <x v="3"/>
    <x v="3"/>
    <n v="5045.7824999999993"/>
    <x v="0"/>
    <x v="3"/>
    <n v="1"/>
    <s v="REG100298"/>
    <s v="Cust 4467"/>
    <n v="25.3"/>
    <d v="2023-11-30T00:00:00"/>
    <d v="2023-12-08T00:00:00"/>
    <x v="3"/>
  </r>
  <r>
    <x v="255"/>
    <x v="1"/>
    <x v="5"/>
    <n v="20"/>
    <n v="358.57"/>
    <x v="0"/>
    <x v="0"/>
    <x v="0"/>
    <x v="1"/>
    <n v="7171.4"/>
    <x v="3"/>
    <x v="0"/>
    <n v="1"/>
    <s v="REG100299"/>
    <s v="Cust 6146"/>
    <n v="21.11"/>
    <d v="2024-08-15T00:00:00"/>
    <d v="2024-08-20T00:00:00"/>
    <x v="1"/>
  </r>
  <r>
    <x v="256"/>
    <x v="4"/>
    <x v="5"/>
    <n v="16"/>
    <n v="33.18"/>
    <x v="2"/>
    <x v="1"/>
    <x v="3"/>
    <x v="0"/>
    <n v="504.33600000000001"/>
    <x v="0"/>
    <x v="1"/>
    <n v="0"/>
    <s v="REG100300"/>
    <s v="Cust 4001"/>
    <n v="22.94"/>
    <d v="2023-03-21T00:00:00"/>
    <d v="2023-03-26T00:00:00"/>
    <x v="4"/>
  </r>
  <r>
    <x v="71"/>
    <x v="4"/>
    <x v="4"/>
    <n v="2"/>
    <n v="124.4"/>
    <x v="0"/>
    <x v="1"/>
    <x v="0"/>
    <x v="0"/>
    <n v="248.8"/>
    <x v="0"/>
    <x v="3"/>
    <n v="0"/>
    <s v="REG100301"/>
    <s v="Cust 3365"/>
    <n v="37.049999999999997"/>
    <d v="2023-10-26T00:00:00"/>
    <d v="2023-10-31T00:00:00"/>
    <x v="4"/>
  </r>
  <r>
    <x v="257"/>
    <x v="4"/>
    <x v="1"/>
    <n v="12"/>
    <n v="17.760000000000002"/>
    <x v="3"/>
    <x v="1"/>
    <x v="1"/>
    <x v="3"/>
    <n v="191.80799999999999"/>
    <x v="0"/>
    <x v="0"/>
    <n v="0"/>
    <s v="REG100302"/>
    <s v="Cust 2194"/>
    <n v="12.18"/>
    <d v="2023-11-03T00:00:00"/>
    <d v="2023-11-11T00:00:00"/>
    <x v="4"/>
  </r>
  <r>
    <x v="258"/>
    <x v="2"/>
    <x v="3"/>
    <n v="16"/>
    <n v="345.53"/>
    <x v="2"/>
    <x v="1"/>
    <x v="2"/>
    <x v="2"/>
    <n v="4699.2079999999996"/>
    <x v="1"/>
    <x v="1"/>
    <n v="0"/>
    <s v="REG100303"/>
    <s v="Cust 7942"/>
    <n v="13.43"/>
    <d v="2025-01-30T00:00:00"/>
    <d v="2025-02-05T00:00:00"/>
    <x v="2"/>
  </r>
  <r>
    <x v="109"/>
    <x v="4"/>
    <x v="0"/>
    <n v="13"/>
    <n v="453.48"/>
    <x v="1"/>
    <x v="0"/>
    <x v="3"/>
    <x v="1"/>
    <n v="5600.4779999999992"/>
    <x v="1"/>
    <x v="1"/>
    <n v="0"/>
    <s v="REG100304"/>
    <s v="Cust 8451"/>
    <n v="46.28"/>
    <d v="2024-01-25T00:00:00"/>
    <d v="2024-02-03T00:00:00"/>
    <x v="4"/>
  </r>
  <r>
    <x v="259"/>
    <x v="1"/>
    <x v="0"/>
    <n v="10"/>
    <n v="277.74"/>
    <x v="0"/>
    <x v="1"/>
    <x v="2"/>
    <x v="3"/>
    <n v="2360.79"/>
    <x v="1"/>
    <x v="1"/>
    <n v="1"/>
    <s v="REG100305"/>
    <s v="Cust 4238"/>
    <n v="35.020000000000003"/>
    <d v="2025-03-29T00:00:00"/>
    <d v="2025-04-02T00:00:00"/>
    <x v="1"/>
  </r>
  <r>
    <x v="260"/>
    <x v="3"/>
    <x v="3"/>
    <n v="16"/>
    <n v="89.76"/>
    <x v="1"/>
    <x v="0"/>
    <x v="0"/>
    <x v="1"/>
    <n v="1436.16"/>
    <x v="3"/>
    <x v="2"/>
    <n v="1"/>
    <s v="REG100306"/>
    <s v="Cust 2529"/>
    <n v="44.69"/>
    <d v="2024-11-02T00:00:00"/>
    <d v="2024-11-09T00:00:00"/>
    <x v="3"/>
  </r>
  <r>
    <x v="261"/>
    <x v="3"/>
    <x v="3"/>
    <n v="11"/>
    <n v="535.37"/>
    <x v="3"/>
    <x v="0"/>
    <x v="0"/>
    <x v="2"/>
    <n v="5889.07"/>
    <x v="4"/>
    <x v="3"/>
    <n v="0"/>
    <s v="REG100307"/>
    <s v="Cust 7057"/>
    <n v="35.96"/>
    <d v="2024-06-30T00:00:00"/>
    <d v="2024-07-09T00:00:00"/>
    <x v="3"/>
  </r>
  <r>
    <x v="6"/>
    <x v="1"/>
    <x v="5"/>
    <n v="9"/>
    <n v="15.58"/>
    <x v="3"/>
    <x v="1"/>
    <x v="1"/>
    <x v="2"/>
    <n v="126.19799999999999"/>
    <x v="1"/>
    <x v="0"/>
    <n v="1"/>
    <s v="REG100308"/>
    <s v="Cust 9069"/>
    <n v="27.81"/>
    <d v="2023-01-11T00:00:00"/>
    <d v="2023-01-19T00:00:00"/>
    <x v="1"/>
  </r>
  <r>
    <x v="20"/>
    <x v="2"/>
    <x v="2"/>
    <n v="13"/>
    <n v="466.54"/>
    <x v="2"/>
    <x v="0"/>
    <x v="0"/>
    <x v="0"/>
    <n v="6065.02"/>
    <x v="4"/>
    <x v="0"/>
    <n v="0"/>
    <s v="REG100309"/>
    <s v="Cust 5858"/>
    <n v="18.63"/>
    <d v="2025-06-05T00:00:00"/>
    <d v="2025-06-14T00:00:00"/>
    <x v="2"/>
  </r>
  <r>
    <x v="58"/>
    <x v="2"/>
    <x v="4"/>
    <n v="16"/>
    <n v="593"/>
    <x v="3"/>
    <x v="1"/>
    <x v="1"/>
    <x v="0"/>
    <n v="8539.2000000000007"/>
    <x v="1"/>
    <x v="1"/>
    <n v="0"/>
    <s v="REG100310"/>
    <s v="Cust 2712"/>
    <n v="18.77"/>
    <d v="2024-03-21T00:00:00"/>
    <d v="2024-03-24T00:00:00"/>
    <x v="2"/>
  </r>
  <r>
    <x v="262"/>
    <x v="1"/>
    <x v="2"/>
    <n v="6"/>
    <n v="567.36"/>
    <x v="2"/>
    <x v="0"/>
    <x v="3"/>
    <x v="1"/>
    <n v="3233.9520000000002"/>
    <x v="1"/>
    <x v="2"/>
    <n v="0"/>
    <s v="REG100311"/>
    <s v="Cust 7052"/>
    <n v="45.98"/>
    <d v="2023-08-31T00:00:00"/>
    <d v="2023-09-08T00:00:00"/>
    <x v="1"/>
  </r>
  <r>
    <x v="263"/>
    <x v="1"/>
    <x v="1"/>
    <n v="17"/>
    <n v="523.04"/>
    <x v="1"/>
    <x v="1"/>
    <x v="3"/>
    <x v="0"/>
    <n v="8447.0959999999995"/>
    <x v="3"/>
    <x v="0"/>
    <n v="0"/>
    <s v="REG100312"/>
    <s v="Cust 9397"/>
    <n v="37.380000000000003"/>
    <d v="2024-10-07T00:00:00"/>
    <d v="2024-10-17T00:00:00"/>
    <x v="1"/>
  </r>
  <r>
    <x v="264"/>
    <x v="2"/>
    <x v="0"/>
    <n v="17"/>
    <n v="376.4"/>
    <x v="2"/>
    <x v="0"/>
    <x v="0"/>
    <x v="1"/>
    <n v="6398.7999999999993"/>
    <x v="3"/>
    <x v="0"/>
    <n v="0"/>
    <s v="REG100313"/>
    <s v="Cust 4614"/>
    <n v="33.380000000000003"/>
    <d v="2023-04-12T00:00:00"/>
    <d v="2023-04-15T00:00:00"/>
    <x v="2"/>
  </r>
  <r>
    <x v="265"/>
    <x v="1"/>
    <x v="6"/>
    <n v="5"/>
    <n v="95.19"/>
    <x v="1"/>
    <x v="1"/>
    <x v="2"/>
    <x v="2"/>
    <n v="404.5575"/>
    <x v="2"/>
    <x v="2"/>
    <n v="0"/>
    <s v="REG100314"/>
    <s v="Cust 1573"/>
    <n v="48.55"/>
    <d v="2023-11-06T00:00:00"/>
    <d v="2023-11-16T00:00:00"/>
    <x v="1"/>
  </r>
  <r>
    <x v="266"/>
    <x v="4"/>
    <x v="2"/>
    <n v="2"/>
    <n v="210.71"/>
    <x v="3"/>
    <x v="0"/>
    <x v="2"/>
    <x v="4"/>
    <n v="358.20699999999999"/>
    <x v="2"/>
    <x v="1"/>
    <n v="0"/>
    <s v="REG100315"/>
    <s v="Cust 5660"/>
    <n v="7.78"/>
    <d v="2023-04-28T00:00:00"/>
    <d v="2023-05-08T00:00:00"/>
    <x v="4"/>
  </r>
  <r>
    <x v="267"/>
    <x v="4"/>
    <x v="6"/>
    <n v="7"/>
    <n v="393.39"/>
    <x v="0"/>
    <x v="1"/>
    <x v="1"/>
    <x v="1"/>
    <n v="2478.357"/>
    <x v="4"/>
    <x v="1"/>
    <n v="0"/>
    <s v="REG100316"/>
    <s v="Cust 3952"/>
    <n v="34.35"/>
    <d v="2023-12-18T00:00:00"/>
    <d v="2023-12-21T00:00:00"/>
    <x v="4"/>
  </r>
  <r>
    <x v="268"/>
    <x v="1"/>
    <x v="1"/>
    <n v="13"/>
    <n v="114.03"/>
    <x v="1"/>
    <x v="1"/>
    <x v="0"/>
    <x v="5"/>
    <n v="1482.39"/>
    <x v="4"/>
    <x v="3"/>
    <n v="0"/>
    <s v="REG100317"/>
    <s v="Cust 5407"/>
    <n v="43.81"/>
    <d v="2024-10-10T00:00:00"/>
    <d v="2024-10-16T00:00:00"/>
    <x v="1"/>
  </r>
  <r>
    <x v="269"/>
    <x v="2"/>
    <x v="5"/>
    <n v="18"/>
    <n v="336.48"/>
    <x v="0"/>
    <x v="1"/>
    <x v="0"/>
    <x v="2"/>
    <n v="6056.64"/>
    <x v="0"/>
    <x v="2"/>
    <n v="0"/>
    <s v="REG100318"/>
    <s v="Cust 9595"/>
    <n v="18.59"/>
    <d v="2023-02-05T00:00:00"/>
    <d v="2023-02-07T00:00:00"/>
    <x v="2"/>
  </r>
  <r>
    <x v="270"/>
    <x v="3"/>
    <x v="4"/>
    <n v="9"/>
    <n v="24.44"/>
    <x v="2"/>
    <x v="0"/>
    <x v="2"/>
    <x v="0"/>
    <n v="186.96600000000001"/>
    <x v="1"/>
    <x v="1"/>
    <n v="1"/>
    <s v="REG100319"/>
    <s v="Cust 3245"/>
    <n v="22.06"/>
    <d v="2024-08-04T00:00:00"/>
    <d v="2024-08-14T00:00:00"/>
    <x v="3"/>
  </r>
  <r>
    <x v="75"/>
    <x v="3"/>
    <x v="5"/>
    <n v="12"/>
    <n v="352.2"/>
    <x v="1"/>
    <x v="1"/>
    <x v="3"/>
    <x v="0"/>
    <n v="4015.079999999999"/>
    <x v="2"/>
    <x v="2"/>
    <n v="0"/>
    <s v="REG100320"/>
    <s v="Cust 7180"/>
    <n v="18.39"/>
    <d v="2024-10-23T00:00:00"/>
    <d v="2024-11-01T00:00:00"/>
    <x v="3"/>
  </r>
  <r>
    <x v="30"/>
    <x v="4"/>
    <x v="4"/>
    <n v="7"/>
    <n v="353.99"/>
    <x v="2"/>
    <x v="0"/>
    <x v="3"/>
    <x v="3"/>
    <n v="2354.0335"/>
    <x v="1"/>
    <x v="0"/>
    <n v="0"/>
    <s v="REG100321"/>
    <s v="Cust 5973"/>
    <n v="5.93"/>
    <d v="2024-02-13T00:00:00"/>
    <d v="2024-02-20T00:00:00"/>
    <x v="4"/>
  </r>
  <r>
    <x v="189"/>
    <x v="1"/>
    <x v="5"/>
    <n v="15"/>
    <n v="10.220000000000001"/>
    <x v="2"/>
    <x v="1"/>
    <x v="0"/>
    <x v="1"/>
    <n v="153.30000000000001"/>
    <x v="1"/>
    <x v="0"/>
    <n v="0"/>
    <s v="REG100322"/>
    <s v="Cust 4310"/>
    <n v="36.270000000000003"/>
    <d v="2024-06-03T00:00:00"/>
    <d v="2024-06-07T00:00:00"/>
    <x v="1"/>
  </r>
  <r>
    <x v="271"/>
    <x v="1"/>
    <x v="6"/>
    <n v="17"/>
    <n v="464.16"/>
    <x v="1"/>
    <x v="1"/>
    <x v="2"/>
    <x v="3"/>
    <n v="6707.1120000000001"/>
    <x v="3"/>
    <x v="0"/>
    <n v="1"/>
    <s v="REG100323"/>
    <s v="Cust 6243"/>
    <n v="46.83"/>
    <d v="2023-04-14T00:00:00"/>
    <d v="2023-04-18T00:00:00"/>
    <x v="1"/>
  </r>
  <r>
    <x v="272"/>
    <x v="3"/>
    <x v="0"/>
    <n v="16"/>
    <n v="436.31"/>
    <x v="2"/>
    <x v="1"/>
    <x v="3"/>
    <x v="4"/>
    <n v="6631.9119999999994"/>
    <x v="0"/>
    <x v="3"/>
    <n v="0"/>
    <s v="REG100324"/>
    <s v="Cust 2448"/>
    <n v="47.61"/>
    <d v="2024-10-19T00:00:00"/>
    <d v="2024-10-23T00:00:00"/>
    <x v="3"/>
  </r>
  <r>
    <x v="267"/>
    <x v="1"/>
    <x v="0"/>
    <n v="9"/>
    <n v="219.93"/>
    <x v="0"/>
    <x v="0"/>
    <x v="3"/>
    <x v="5"/>
    <n v="1880.4014999999999"/>
    <x v="1"/>
    <x v="0"/>
    <n v="0"/>
    <s v="REG100325"/>
    <s v="Cust 9386"/>
    <n v="44.78"/>
    <d v="2023-12-18T00:00:00"/>
    <d v="2023-12-22T00:00:00"/>
    <x v="1"/>
  </r>
  <r>
    <x v="262"/>
    <x v="2"/>
    <x v="0"/>
    <n v="5"/>
    <n v="311.22000000000003"/>
    <x v="1"/>
    <x v="0"/>
    <x v="2"/>
    <x v="4"/>
    <n v="1322.6849999999999"/>
    <x v="4"/>
    <x v="0"/>
    <n v="0"/>
    <s v="REG100326"/>
    <s v="Cust 2227"/>
    <n v="36.979999999999997"/>
    <d v="2023-08-31T00:00:00"/>
    <d v="2023-09-06T00:00:00"/>
    <x v="2"/>
  </r>
  <r>
    <x v="273"/>
    <x v="1"/>
    <x v="0"/>
    <n v="4"/>
    <n v="547.55999999999995"/>
    <x v="3"/>
    <x v="1"/>
    <x v="2"/>
    <x v="2"/>
    <n v="1861.704"/>
    <x v="1"/>
    <x v="3"/>
    <n v="0"/>
    <s v="REG100327"/>
    <s v="Cust 3803"/>
    <n v="25.88"/>
    <d v="2023-09-19T00:00:00"/>
    <d v="2023-09-26T00:00:00"/>
    <x v="1"/>
  </r>
  <r>
    <x v="274"/>
    <x v="3"/>
    <x v="0"/>
    <n v="9"/>
    <n v="52.69"/>
    <x v="3"/>
    <x v="1"/>
    <x v="2"/>
    <x v="4"/>
    <n v="403.07850000000002"/>
    <x v="0"/>
    <x v="1"/>
    <n v="0"/>
    <s v="REG100328"/>
    <s v="Cust 1236"/>
    <n v="14.59"/>
    <d v="2023-02-27T00:00:00"/>
    <d v="2023-03-04T00:00:00"/>
    <x v="3"/>
  </r>
  <r>
    <x v="275"/>
    <x v="1"/>
    <x v="5"/>
    <n v="9"/>
    <n v="434.74"/>
    <x v="3"/>
    <x v="0"/>
    <x v="1"/>
    <x v="5"/>
    <n v="3521.3939999999998"/>
    <x v="0"/>
    <x v="1"/>
    <n v="0"/>
    <s v="REG100329"/>
    <s v="Cust 2669"/>
    <n v="20.11"/>
    <d v="2024-01-28T00:00:00"/>
    <d v="2024-01-31T00:00:00"/>
    <x v="1"/>
  </r>
  <r>
    <x v="276"/>
    <x v="1"/>
    <x v="4"/>
    <n v="9"/>
    <n v="124.17"/>
    <x v="2"/>
    <x v="0"/>
    <x v="0"/>
    <x v="0"/>
    <n v="1117.53"/>
    <x v="3"/>
    <x v="2"/>
    <n v="0"/>
    <s v="REG100330"/>
    <s v="Cust 3746"/>
    <n v="13.31"/>
    <d v="2025-05-06T00:00:00"/>
    <d v="2025-05-10T00:00:00"/>
    <x v="1"/>
  </r>
  <r>
    <x v="277"/>
    <x v="0"/>
    <x v="4"/>
    <n v="2"/>
    <n v="375.48"/>
    <x v="3"/>
    <x v="1"/>
    <x v="3"/>
    <x v="4"/>
    <n v="713.41200000000003"/>
    <x v="2"/>
    <x v="0"/>
    <n v="0"/>
    <s v="REG100331"/>
    <s v="Cust 9694"/>
    <n v="26.39"/>
    <d v="2024-09-13T00:00:00"/>
    <d v="2024-09-15T00:00:00"/>
    <x v="0"/>
  </r>
  <r>
    <x v="147"/>
    <x v="0"/>
    <x v="6"/>
    <n v="13"/>
    <n v="211.06"/>
    <x v="0"/>
    <x v="1"/>
    <x v="1"/>
    <x v="5"/>
    <n v="2469.402"/>
    <x v="1"/>
    <x v="3"/>
    <n v="1"/>
    <s v="REG100332"/>
    <s v="Cust 4993"/>
    <n v="19.579999999999998"/>
    <d v="2023-05-25T00:00:00"/>
    <d v="2023-05-29T00:00:00"/>
    <x v="0"/>
  </r>
  <r>
    <x v="217"/>
    <x v="1"/>
    <x v="5"/>
    <n v="7"/>
    <n v="88.87"/>
    <x v="2"/>
    <x v="1"/>
    <x v="0"/>
    <x v="1"/>
    <n v="622.09"/>
    <x v="0"/>
    <x v="1"/>
    <n v="0"/>
    <s v="REG100333"/>
    <s v="Cust 1271"/>
    <n v="8.36"/>
    <d v="2024-09-26T00:00:00"/>
    <d v="2024-10-01T00:00:00"/>
    <x v="1"/>
  </r>
  <r>
    <x v="278"/>
    <x v="1"/>
    <x v="1"/>
    <n v="5"/>
    <n v="254.24"/>
    <x v="0"/>
    <x v="0"/>
    <x v="3"/>
    <x v="5"/>
    <n v="1207.6400000000001"/>
    <x v="0"/>
    <x v="3"/>
    <n v="0"/>
    <s v="REG100334"/>
    <s v="Cust 3042"/>
    <n v="9.9700000000000006"/>
    <d v="2023-02-13T00:00:00"/>
    <d v="2023-02-18T00:00:00"/>
    <x v="1"/>
  </r>
  <r>
    <x v="249"/>
    <x v="3"/>
    <x v="3"/>
    <n v="5"/>
    <n v="432.35"/>
    <x v="2"/>
    <x v="0"/>
    <x v="1"/>
    <x v="5"/>
    <n v="1945.575"/>
    <x v="1"/>
    <x v="3"/>
    <n v="1"/>
    <s v="REG100335"/>
    <s v="Cust 6424"/>
    <n v="41.48"/>
    <d v="2024-06-20T00:00:00"/>
    <d v="2024-06-27T00:00:00"/>
    <x v="3"/>
  </r>
  <r>
    <x v="124"/>
    <x v="4"/>
    <x v="0"/>
    <n v="19"/>
    <n v="590"/>
    <x v="3"/>
    <x v="1"/>
    <x v="3"/>
    <x v="1"/>
    <n v="10649.5"/>
    <x v="0"/>
    <x v="0"/>
    <n v="0"/>
    <s v="REG100336"/>
    <s v="Cust 1422"/>
    <n v="5.91"/>
    <d v="2024-03-22T00:00:00"/>
    <d v="2024-03-25T00:00:00"/>
    <x v="4"/>
  </r>
  <r>
    <x v="279"/>
    <x v="4"/>
    <x v="4"/>
    <n v="11"/>
    <n v="151.25"/>
    <x v="0"/>
    <x v="0"/>
    <x v="1"/>
    <x v="2"/>
    <n v="1497.375"/>
    <x v="2"/>
    <x v="3"/>
    <n v="1"/>
    <s v="REG100337"/>
    <s v="Cust 5857"/>
    <n v="22.65"/>
    <d v="2024-02-08T00:00:00"/>
    <d v="2024-02-11T00:00:00"/>
    <x v="4"/>
  </r>
  <r>
    <x v="280"/>
    <x v="0"/>
    <x v="2"/>
    <n v="3"/>
    <n v="204.79"/>
    <x v="0"/>
    <x v="1"/>
    <x v="1"/>
    <x v="2"/>
    <n v="552.93299999999999"/>
    <x v="0"/>
    <x v="0"/>
    <n v="1"/>
    <s v="REG100338"/>
    <s v="Cust 6953"/>
    <n v="7.72"/>
    <d v="2024-06-01T00:00:00"/>
    <d v="2024-06-04T00:00:00"/>
    <x v="0"/>
  </r>
  <r>
    <x v="96"/>
    <x v="2"/>
    <x v="0"/>
    <n v="16"/>
    <n v="586.52"/>
    <x v="2"/>
    <x v="0"/>
    <x v="0"/>
    <x v="4"/>
    <n v="9384.32"/>
    <x v="2"/>
    <x v="2"/>
    <n v="1"/>
    <s v="REG100339"/>
    <s v="Cust 2916"/>
    <n v="17.059999999999999"/>
    <d v="2024-05-26T00:00:00"/>
    <d v="2024-06-01T00:00:00"/>
    <x v="2"/>
  </r>
  <r>
    <x v="281"/>
    <x v="0"/>
    <x v="6"/>
    <n v="16"/>
    <n v="104.83"/>
    <x v="1"/>
    <x v="0"/>
    <x v="0"/>
    <x v="3"/>
    <n v="1677.28"/>
    <x v="1"/>
    <x v="0"/>
    <n v="0"/>
    <s v="REG100340"/>
    <s v="Cust 6855"/>
    <n v="33.99"/>
    <d v="2024-06-25T00:00:00"/>
    <d v="2024-06-30T00:00:00"/>
    <x v="0"/>
  </r>
  <r>
    <x v="282"/>
    <x v="3"/>
    <x v="6"/>
    <n v="16"/>
    <n v="598.48"/>
    <x v="1"/>
    <x v="1"/>
    <x v="1"/>
    <x v="2"/>
    <n v="8618.112000000001"/>
    <x v="4"/>
    <x v="3"/>
    <n v="0"/>
    <s v="REG100341"/>
    <s v="Cust 8464"/>
    <n v="47.86"/>
    <d v="2024-01-29T00:00:00"/>
    <d v="2024-02-07T00:00:00"/>
    <x v="3"/>
  </r>
  <r>
    <x v="29"/>
    <x v="1"/>
    <x v="3"/>
    <n v="8"/>
    <n v="367.89"/>
    <x v="0"/>
    <x v="1"/>
    <x v="3"/>
    <x v="1"/>
    <n v="2795.9639999999999"/>
    <x v="4"/>
    <x v="0"/>
    <n v="0"/>
    <s v="REG100342"/>
    <s v="Cust 9700"/>
    <n v="18.100000000000001"/>
    <d v="2024-12-07T00:00:00"/>
    <d v="2024-12-09T00:00:00"/>
    <x v="1"/>
  </r>
  <r>
    <x v="283"/>
    <x v="4"/>
    <x v="3"/>
    <n v="10"/>
    <n v="333.35"/>
    <x v="1"/>
    <x v="1"/>
    <x v="2"/>
    <x v="1"/>
    <n v="2833.4749999999999"/>
    <x v="3"/>
    <x v="0"/>
    <n v="0"/>
    <s v="REG100343"/>
    <s v="Cust 7765"/>
    <n v="39.35"/>
    <d v="2023-11-21T00:00:00"/>
    <d v="2023-11-26T00:00:00"/>
    <x v="4"/>
  </r>
  <r>
    <x v="284"/>
    <x v="2"/>
    <x v="3"/>
    <n v="8"/>
    <n v="378.88"/>
    <x v="1"/>
    <x v="0"/>
    <x v="1"/>
    <x v="2"/>
    <n v="2727.9360000000001"/>
    <x v="3"/>
    <x v="2"/>
    <n v="1"/>
    <s v="REG100344"/>
    <s v="Cust 8246"/>
    <n v="5.22"/>
    <d v="2024-12-16T00:00:00"/>
    <d v="2024-12-24T00:00:00"/>
    <x v="2"/>
  </r>
  <r>
    <x v="285"/>
    <x v="3"/>
    <x v="4"/>
    <n v="12"/>
    <n v="169.2"/>
    <x v="2"/>
    <x v="1"/>
    <x v="3"/>
    <x v="4"/>
    <n v="1928.88"/>
    <x v="1"/>
    <x v="1"/>
    <n v="0"/>
    <s v="REG100345"/>
    <s v="Cust 6500"/>
    <n v="28.65"/>
    <d v="2023-08-05T00:00:00"/>
    <d v="2023-08-15T00:00:00"/>
    <x v="3"/>
  </r>
  <r>
    <x v="286"/>
    <x v="3"/>
    <x v="3"/>
    <n v="7"/>
    <n v="103.03"/>
    <x v="3"/>
    <x v="1"/>
    <x v="1"/>
    <x v="5"/>
    <n v="649.08900000000006"/>
    <x v="0"/>
    <x v="0"/>
    <n v="1"/>
    <s v="REG100346"/>
    <s v="Cust 1150"/>
    <n v="5.29"/>
    <d v="2023-08-30T00:00:00"/>
    <d v="2023-09-06T00:00:00"/>
    <x v="3"/>
  </r>
  <r>
    <x v="287"/>
    <x v="0"/>
    <x v="6"/>
    <n v="3"/>
    <n v="378.74"/>
    <x v="3"/>
    <x v="0"/>
    <x v="2"/>
    <x v="2"/>
    <n v="965.78700000000003"/>
    <x v="0"/>
    <x v="1"/>
    <n v="0"/>
    <s v="REG100347"/>
    <s v="Cust 7449"/>
    <n v="8.2200000000000006"/>
    <d v="2025-03-25T00:00:00"/>
    <d v="2025-03-27T00:00:00"/>
    <x v="0"/>
  </r>
  <r>
    <x v="167"/>
    <x v="2"/>
    <x v="1"/>
    <n v="15"/>
    <n v="27.21"/>
    <x v="2"/>
    <x v="0"/>
    <x v="0"/>
    <x v="1"/>
    <n v="408.15"/>
    <x v="0"/>
    <x v="2"/>
    <n v="0"/>
    <s v="REG100348"/>
    <s v="Cust 1957"/>
    <n v="43.69"/>
    <d v="2024-12-13T00:00:00"/>
    <d v="2024-12-22T00:00:00"/>
    <x v="2"/>
  </r>
  <r>
    <x v="288"/>
    <x v="3"/>
    <x v="1"/>
    <n v="14"/>
    <n v="52.09"/>
    <x v="1"/>
    <x v="1"/>
    <x v="0"/>
    <x v="5"/>
    <n v="729.26"/>
    <x v="1"/>
    <x v="3"/>
    <n v="1"/>
    <s v="REG100349"/>
    <s v="Cust 3467"/>
    <n v="48.02"/>
    <d v="2023-09-07T00:00:00"/>
    <d v="2023-09-14T00:00:00"/>
    <x v="3"/>
  </r>
  <r>
    <x v="289"/>
    <x v="2"/>
    <x v="4"/>
    <n v="7"/>
    <n v="570.01"/>
    <x v="2"/>
    <x v="0"/>
    <x v="0"/>
    <x v="3"/>
    <n v="3990.07"/>
    <x v="2"/>
    <x v="2"/>
    <n v="0"/>
    <s v="REG100350"/>
    <s v="Cust 5212"/>
    <n v="42.33"/>
    <d v="2023-12-12T00:00:00"/>
    <d v="2023-12-21T00:00:00"/>
    <x v="2"/>
  </r>
  <r>
    <x v="290"/>
    <x v="0"/>
    <x v="4"/>
    <n v="19"/>
    <n v="526.23"/>
    <x v="0"/>
    <x v="1"/>
    <x v="0"/>
    <x v="5"/>
    <n v="9998.3700000000008"/>
    <x v="2"/>
    <x v="2"/>
    <n v="0"/>
    <s v="REG100351"/>
    <s v="Cust 3509"/>
    <n v="32.770000000000003"/>
    <d v="2024-04-25T00:00:00"/>
    <d v="2024-05-05T00:00:00"/>
    <x v="0"/>
  </r>
  <r>
    <x v="291"/>
    <x v="2"/>
    <x v="0"/>
    <n v="8"/>
    <n v="294.51"/>
    <x v="1"/>
    <x v="0"/>
    <x v="2"/>
    <x v="4"/>
    <n v="2002.6679999999999"/>
    <x v="1"/>
    <x v="3"/>
    <n v="0"/>
    <s v="REG100352"/>
    <s v="Cust 5316"/>
    <n v="10.46"/>
    <d v="2025-05-04T00:00:00"/>
    <d v="2025-05-07T00:00:00"/>
    <x v="2"/>
  </r>
  <r>
    <x v="292"/>
    <x v="1"/>
    <x v="4"/>
    <n v="18"/>
    <n v="448.27"/>
    <x v="2"/>
    <x v="0"/>
    <x v="3"/>
    <x v="4"/>
    <n v="7665.4169999999986"/>
    <x v="2"/>
    <x v="1"/>
    <n v="0"/>
    <s v="REG100353"/>
    <s v="Cust 9919"/>
    <n v="47.56"/>
    <d v="2023-09-16T00:00:00"/>
    <d v="2023-09-20T00:00:00"/>
    <x v="1"/>
  </r>
  <r>
    <x v="75"/>
    <x v="4"/>
    <x v="2"/>
    <n v="17"/>
    <n v="583.88"/>
    <x v="3"/>
    <x v="1"/>
    <x v="1"/>
    <x v="1"/>
    <n v="8933.3639999999996"/>
    <x v="2"/>
    <x v="2"/>
    <n v="0"/>
    <s v="REG100354"/>
    <s v="Cust 7129"/>
    <n v="37.53"/>
    <d v="2024-10-23T00:00:00"/>
    <d v="2024-10-26T00:00:00"/>
    <x v="4"/>
  </r>
  <r>
    <x v="293"/>
    <x v="2"/>
    <x v="2"/>
    <n v="2"/>
    <n v="97.5"/>
    <x v="3"/>
    <x v="1"/>
    <x v="1"/>
    <x v="1"/>
    <n v="175.5"/>
    <x v="4"/>
    <x v="3"/>
    <n v="1"/>
    <s v="REG100355"/>
    <s v="Cust 9841"/>
    <n v="46.37"/>
    <d v="2023-05-03T00:00:00"/>
    <d v="2023-05-06T00:00:00"/>
    <x v="2"/>
  </r>
  <r>
    <x v="213"/>
    <x v="2"/>
    <x v="6"/>
    <n v="16"/>
    <n v="420.79"/>
    <x v="0"/>
    <x v="0"/>
    <x v="2"/>
    <x v="3"/>
    <n v="5722.7439999999997"/>
    <x v="4"/>
    <x v="0"/>
    <n v="1"/>
    <s v="REG100356"/>
    <s v="Cust 6362"/>
    <n v="22.13"/>
    <d v="2025-03-18T00:00:00"/>
    <d v="2025-03-25T00:00:00"/>
    <x v="2"/>
  </r>
  <r>
    <x v="294"/>
    <x v="4"/>
    <x v="3"/>
    <n v="13"/>
    <n v="513.17999999999995"/>
    <x v="0"/>
    <x v="1"/>
    <x v="0"/>
    <x v="0"/>
    <n v="6671.3399999999992"/>
    <x v="2"/>
    <x v="0"/>
    <n v="0"/>
    <s v="REG100357"/>
    <s v="Cust 4142"/>
    <n v="10.57"/>
    <d v="2023-08-25T00:00:00"/>
    <d v="2023-08-27T00:00:00"/>
    <x v="4"/>
  </r>
  <r>
    <x v="295"/>
    <x v="2"/>
    <x v="4"/>
    <n v="19"/>
    <n v="475.64"/>
    <x v="2"/>
    <x v="1"/>
    <x v="1"/>
    <x v="2"/>
    <n v="8133.4440000000004"/>
    <x v="4"/>
    <x v="2"/>
    <n v="1"/>
    <s v="REG100358"/>
    <s v="Cust 9584"/>
    <n v="11.17"/>
    <d v="2023-07-13T00:00:00"/>
    <d v="2023-07-17T00:00:00"/>
    <x v="2"/>
  </r>
  <r>
    <x v="296"/>
    <x v="2"/>
    <x v="5"/>
    <n v="13"/>
    <n v="238.34"/>
    <x v="2"/>
    <x v="1"/>
    <x v="1"/>
    <x v="3"/>
    <n v="2788.578"/>
    <x v="2"/>
    <x v="1"/>
    <n v="1"/>
    <s v="REG100359"/>
    <s v="Cust 2553"/>
    <n v="7.9"/>
    <d v="2025-02-25T00:00:00"/>
    <d v="2025-03-06T00:00:00"/>
    <x v="2"/>
  </r>
  <r>
    <x v="297"/>
    <x v="3"/>
    <x v="0"/>
    <n v="14"/>
    <n v="285.02999999999997"/>
    <x v="0"/>
    <x v="0"/>
    <x v="1"/>
    <x v="0"/>
    <n v="3591.3780000000002"/>
    <x v="2"/>
    <x v="1"/>
    <n v="0"/>
    <s v="REG100360"/>
    <s v="Cust 1347"/>
    <n v="41.5"/>
    <d v="2025-04-14T00:00:00"/>
    <d v="2025-04-17T00:00:00"/>
    <x v="3"/>
  </r>
  <r>
    <x v="298"/>
    <x v="3"/>
    <x v="2"/>
    <n v="5"/>
    <n v="5.52"/>
    <x v="2"/>
    <x v="1"/>
    <x v="3"/>
    <x v="1"/>
    <n v="26.22"/>
    <x v="2"/>
    <x v="0"/>
    <n v="0"/>
    <s v="REG100361"/>
    <s v="Cust 8305"/>
    <n v="10.58"/>
    <d v="2025-06-15T00:00:00"/>
    <d v="2025-06-18T00:00:00"/>
    <x v="3"/>
  </r>
  <r>
    <x v="299"/>
    <x v="2"/>
    <x v="4"/>
    <n v="18"/>
    <n v="396.25"/>
    <x v="3"/>
    <x v="1"/>
    <x v="1"/>
    <x v="2"/>
    <n v="6419.25"/>
    <x v="2"/>
    <x v="0"/>
    <n v="0"/>
    <s v="REG100362"/>
    <s v="Cust 7015"/>
    <n v="20.39"/>
    <d v="2024-10-22T00:00:00"/>
    <d v="2024-10-27T00:00:00"/>
    <x v="2"/>
  </r>
  <r>
    <x v="300"/>
    <x v="1"/>
    <x v="0"/>
    <n v="9"/>
    <n v="282.8"/>
    <x v="3"/>
    <x v="0"/>
    <x v="3"/>
    <x v="0"/>
    <n v="2417.94"/>
    <x v="0"/>
    <x v="3"/>
    <n v="0"/>
    <s v="REG100363"/>
    <s v="Cust 4394"/>
    <n v="49.79"/>
    <d v="2023-06-20T00:00:00"/>
    <d v="2023-06-25T00:00:00"/>
    <x v="1"/>
  </r>
  <r>
    <x v="9"/>
    <x v="1"/>
    <x v="1"/>
    <n v="6"/>
    <n v="525.42999999999995"/>
    <x v="2"/>
    <x v="0"/>
    <x v="3"/>
    <x v="1"/>
    <n v="2994.951"/>
    <x v="2"/>
    <x v="3"/>
    <n v="0"/>
    <s v="REG100364"/>
    <s v="Cust 3323"/>
    <n v="39.28"/>
    <d v="2025-03-05T00:00:00"/>
    <d v="2025-03-11T00:00:00"/>
    <x v="1"/>
  </r>
  <r>
    <x v="301"/>
    <x v="4"/>
    <x v="5"/>
    <n v="15"/>
    <n v="127.67"/>
    <x v="3"/>
    <x v="1"/>
    <x v="1"/>
    <x v="1"/>
    <n v="1723.5450000000001"/>
    <x v="3"/>
    <x v="3"/>
    <n v="0"/>
    <s v="REG100365"/>
    <s v="Cust 4029"/>
    <n v="48.77"/>
    <d v="2023-10-28T00:00:00"/>
    <d v="2023-10-30T00:00:00"/>
    <x v="4"/>
  </r>
  <r>
    <x v="302"/>
    <x v="3"/>
    <x v="0"/>
    <n v="17"/>
    <n v="511.8"/>
    <x v="0"/>
    <x v="1"/>
    <x v="3"/>
    <x v="3"/>
    <n v="8265.57"/>
    <x v="2"/>
    <x v="2"/>
    <n v="1"/>
    <s v="REG100366"/>
    <s v="Cust 1400"/>
    <n v="13.33"/>
    <d v="2025-03-19T00:00:00"/>
    <d v="2025-03-26T00:00:00"/>
    <x v="3"/>
  </r>
  <r>
    <x v="23"/>
    <x v="4"/>
    <x v="5"/>
    <n v="4"/>
    <n v="555.86"/>
    <x v="2"/>
    <x v="1"/>
    <x v="3"/>
    <x v="5"/>
    <n v="2112.268"/>
    <x v="4"/>
    <x v="0"/>
    <n v="0"/>
    <s v="REG100367"/>
    <s v="Cust 6361"/>
    <n v="28.92"/>
    <d v="2023-08-06T00:00:00"/>
    <d v="2023-08-08T00:00:00"/>
    <x v="4"/>
  </r>
  <r>
    <x v="303"/>
    <x v="3"/>
    <x v="4"/>
    <n v="15"/>
    <n v="202.72"/>
    <x v="3"/>
    <x v="1"/>
    <x v="3"/>
    <x v="0"/>
    <n v="2888.76"/>
    <x v="3"/>
    <x v="2"/>
    <n v="1"/>
    <s v="REG100368"/>
    <s v="Cust 5267"/>
    <n v="41.61"/>
    <d v="2024-09-11T00:00:00"/>
    <d v="2024-09-19T00:00:00"/>
    <x v="3"/>
  </r>
  <r>
    <x v="304"/>
    <x v="3"/>
    <x v="3"/>
    <n v="4"/>
    <n v="353.7"/>
    <x v="1"/>
    <x v="0"/>
    <x v="0"/>
    <x v="2"/>
    <n v="1414.8"/>
    <x v="2"/>
    <x v="0"/>
    <n v="0"/>
    <s v="REG100369"/>
    <s v="Cust 9354"/>
    <n v="41.98"/>
    <d v="2025-01-08T00:00:00"/>
    <d v="2025-01-12T00:00:00"/>
    <x v="3"/>
  </r>
  <r>
    <x v="305"/>
    <x v="3"/>
    <x v="3"/>
    <n v="3"/>
    <n v="149.25"/>
    <x v="3"/>
    <x v="0"/>
    <x v="0"/>
    <x v="3"/>
    <n v="447.75"/>
    <x v="3"/>
    <x v="3"/>
    <n v="1"/>
    <s v="REG100370"/>
    <s v="Cust 9443"/>
    <n v="13.17"/>
    <d v="2024-08-12T00:00:00"/>
    <d v="2024-08-14T00:00:00"/>
    <x v="3"/>
  </r>
  <r>
    <x v="306"/>
    <x v="2"/>
    <x v="4"/>
    <n v="19"/>
    <n v="156.44"/>
    <x v="2"/>
    <x v="0"/>
    <x v="1"/>
    <x v="1"/>
    <n v="2675.1239999999998"/>
    <x v="0"/>
    <x v="2"/>
    <n v="0"/>
    <s v="REG100371"/>
    <s v="Cust 2252"/>
    <n v="19.440000000000001"/>
    <d v="2023-03-30T00:00:00"/>
    <d v="2023-04-04T00:00:00"/>
    <x v="2"/>
  </r>
  <r>
    <x v="307"/>
    <x v="3"/>
    <x v="1"/>
    <n v="7"/>
    <n v="241.76"/>
    <x v="3"/>
    <x v="0"/>
    <x v="0"/>
    <x v="3"/>
    <n v="1692.32"/>
    <x v="0"/>
    <x v="1"/>
    <n v="0"/>
    <s v="REG100372"/>
    <s v="Cust 1031"/>
    <n v="48.13"/>
    <d v="2023-02-01T00:00:00"/>
    <d v="2023-02-09T00:00:00"/>
    <x v="3"/>
  </r>
  <r>
    <x v="308"/>
    <x v="2"/>
    <x v="0"/>
    <n v="20"/>
    <n v="170.49"/>
    <x v="1"/>
    <x v="0"/>
    <x v="0"/>
    <x v="4"/>
    <n v="3409.8"/>
    <x v="0"/>
    <x v="0"/>
    <n v="0"/>
    <s v="REG100373"/>
    <s v="Cust 6086"/>
    <n v="19.739999999999998"/>
    <d v="2025-04-18T00:00:00"/>
    <d v="2025-04-27T00:00:00"/>
    <x v="2"/>
  </r>
  <r>
    <x v="259"/>
    <x v="3"/>
    <x v="4"/>
    <n v="11"/>
    <n v="149.66999999999999"/>
    <x v="2"/>
    <x v="1"/>
    <x v="1"/>
    <x v="0"/>
    <n v="1481.7329999999999"/>
    <x v="2"/>
    <x v="3"/>
    <n v="0"/>
    <s v="REG100374"/>
    <s v="Cust 1672"/>
    <n v="34.130000000000003"/>
    <d v="2025-03-29T00:00:00"/>
    <d v="2025-04-02T00:00:00"/>
    <x v="3"/>
  </r>
  <r>
    <x v="290"/>
    <x v="0"/>
    <x v="5"/>
    <n v="1"/>
    <n v="173.56"/>
    <x v="3"/>
    <x v="1"/>
    <x v="1"/>
    <x v="0"/>
    <n v="156.20400000000001"/>
    <x v="3"/>
    <x v="0"/>
    <n v="0"/>
    <s v="REG100375"/>
    <s v="Cust 9313"/>
    <n v="39.1"/>
    <d v="2024-04-25T00:00:00"/>
    <d v="2024-04-28T00:00:00"/>
    <x v="0"/>
  </r>
  <r>
    <x v="309"/>
    <x v="1"/>
    <x v="4"/>
    <n v="7"/>
    <n v="349.55"/>
    <x v="1"/>
    <x v="1"/>
    <x v="3"/>
    <x v="3"/>
    <n v="2324.5075000000002"/>
    <x v="2"/>
    <x v="0"/>
    <n v="0"/>
    <s v="REG100376"/>
    <s v="Cust 4405"/>
    <n v="23.7"/>
    <d v="2024-09-22T00:00:00"/>
    <d v="2024-09-27T00:00:00"/>
    <x v="1"/>
  </r>
  <r>
    <x v="285"/>
    <x v="3"/>
    <x v="5"/>
    <n v="9"/>
    <n v="245.14"/>
    <x v="0"/>
    <x v="0"/>
    <x v="0"/>
    <x v="1"/>
    <n v="2206.2600000000002"/>
    <x v="0"/>
    <x v="1"/>
    <n v="1"/>
    <s v="REG100377"/>
    <s v="Cust 6453"/>
    <n v="44.6"/>
    <d v="2023-08-05T00:00:00"/>
    <d v="2023-08-14T00:00:00"/>
    <x v="3"/>
  </r>
  <r>
    <x v="310"/>
    <x v="1"/>
    <x v="2"/>
    <n v="1"/>
    <n v="423.08"/>
    <x v="0"/>
    <x v="0"/>
    <x v="3"/>
    <x v="5"/>
    <n v="401.92599999999999"/>
    <x v="1"/>
    <x v="2"/>
    <n v="0"/>
    <s v="REG100378"/>
    <s v="Cust 4772"/>
    <n v="31.75"/>
    <d v="2024-06-07T00:00:00"/>
    <d v="2024-06-11T00:00:00"/>
    <x v="1"/>
  </r>
  <r>
    <x v="311"/>
    <x v="0"/>
    <x v="1"/>
    <n v="19"/>
    <n v="337.82"/>
    <x v="0"/>
    <x v="0"/>
    <x v="2"/>
    <x v="1"/>
    <n v="5455.7929999999997"/>
    <x v="0"/>
    <x v="0"/>
    <n v="0"/>
    <s v="REG100379"/>
    <s v="Cust 1762"/>
    <n v="45.74"/>
    <d v="2025-05-24T00:00:00"/>
    <d v="2025-05-30T00:00:00"/>
    <x v="0"/>
  </r>
  <r>
    <x v="118"/>
    <x v="1"/>
    <x v="3"/>
    <n v="10"/>
    <n v="252.63"/>
    <x v="0"/>
    <x v="1"/>
    <x v="2"/>
    <x v="0"/>
    <n v="2147.355"/>
    <x v="4"/>
    <x v="0"/>
    <n v="0"/>
    <s v="REG100380"/>
    <s v="Cust 1865"/>
    <n v="8.92"/>
    <d v="2024-07-18T00:00:00"/>
    <d v="2024-07-25T00:00:00"/>
    <x v="1"/>
  </r>
  <r>
    <x v="106"/>
    <x v="4"/>
    <x v="5"/>
    <n v="3"/>
    <n v="87.02"/>
    <x v="0"/>
    <x v="0"/>
    <x v="1"/>
    <x v="2"/>
    <n v="234.95400000000001"/>
    <x v="4"/>
    <x v="2"/>
    <n v="0"/>
    <s v="REG100381"/>
    <s v="Cust 9552"/>
    <n v="11.13"/>
    <d v="2024-07-14T00:00:00"/>
    <d v="2024-07-16T00:00:00"/>
    <x v="4"/>
  </r>
  <r>
    <x v="271"/>
    <x v="3"/>
    <x v="5"/>
    <n v="11"/>
    <n v="6.72"/>
    <x v="3"/>
    <x v="0"/>
    <x v="3"/>
    <x v="5"/>
    <n v="70.224000000000004"/>
    <x v="4"/>
    <x v="1"/>
    <n v="0"/>
    <s v="REG100382"/>
    <s v="Cust 4273"/>
    <n v="34.270000000000003"/>
    <d v="2023-04-14T00:00:00"/>
    <d v="2023-04-19T00:00:00"/>
    <x v="3"/>
  </r>
  <r>
    <x v="312"/>
    <x v="1"/>
    <x v="6"/>
    <n v="2"/>
    <n v="279.38"/>
    <x v="3"/>
    <x v="1"/>
    <x v="1"/>
    <x v="3"/>
    <n v="502.88400000000001"/>
    <x v="0"/>
    <x v="0"/>
    <n v="0"/>
    <s v="REG100383"/>
    <s v="Cust 8712"/>
    <n v="22.95"/>
    <d v="2023-06-01T00:00:00"/>
    <d v="2023-06-06T00:00:00"/>
    <x v="1"/>
  </r>
  <r>
    <x v="313"/>
    <x v="3"/>
    <x v="1"/>
    <n v="9"/>
    <n v="207.8"/>
    <x v="3"/>
    <x v="1"/>
    <x v="1"/>
    <x v="1"/>
    <n v="1683.18"/>
    <x v="0"/>
    <x v="2"/>
    <n v="0"/>
    <s v="REG100384"/>
    <s v="Cust 9048"/>
    <n v="16.989999999999998"/>
    <d v="2025-04-17T00:00:00"/>
    <d v="2025-04-20T00:00:00"/>
    <x v="3"/>
  </r>
  <r>
    <x v="314"/>
    <x v="0"/>
    <x v="6"/>
    <n v="15"/>
    <n v="511.88"/>
    <x v="2"/>
    <x v="0"/>
    <x v="3"/>
    <x v="5"/>
    <n v="7294.2899999999991"/>
    <x v="4"/>
    <x v="1"/>
    <n v="0"/>
    <s v="REG100385"/>
    <s v="Cust 7714"/>
    <n v="10.220000000000001"/>
    <d v="2025-03-31T00:00:00"/>
    <d v="2025-04-09T00:00:00"/>
    <x v="0"/>
  </r>
  <r>
    <x v="236"/>
    <x v="0"/>
    <x v="6"/>
    <n v="10"/>
    <n v="325.97000000000003"/>
    <x v="3"/>
    <x v="1"/>
    <x v="0"/>
    <x v="5"/>
    <n v="3259.7"/>
    <x v="4"/>
    <x v="0"/>
    <n v="1"/>
    <s v="REG100386"/>
    <s v="Cust 4770"/>
    <n v="49.95"/>
    <d v="2024-07-15T00:00:00"/>
    <d v="2024-07-22T00:00:00"/>
    <x v="0"/>
  </r>
  <r>
    <x v="315"/>
    <x v="1"/>
    <x v="0"/>
    <n v="17"/>
    <n v="469.32"/>
    <x v="0"/>
    <x v="1"/>
    <x v="0"/>
    <x v="3"/>
    <n v="7978.44"/>
    <x v="1"/>
    <x v="2"/>
    <n v="1"/>
    <s v="REG100387"/>
    <s v="Cust 2007"/>
    <n v="5.86"/>
    <d v="2024-08-30T00:00:00"/>
    <d v="2024-09-01T00:00:00"/>
    <x v="1"/>
  </r>
  <r>
    <x v="316"/>
    <x v="3"/>
    <x v="1"/>
    <n v="13"/>
    <n v="186.69"/>
    <x v="3"/>
    <x v="0"/>
    <x v="0"/>
    <x v="5"/>
    <n v="2426.9699999999998"/>
    <x v="4"/>
    <x v="0"/>
    <n v="0"/>
    <s v="REG100388"/>
    <s v="Cust 8909"/>
    <n v="19.920000000000002"/>
    <d v="2025-01-07T00:00:00"/>
    <d v="2025-01-10T00:00:00"/>
    <x v="3"/>
  </r>
  <r>
    <x v="317"/>
    <x v="1"/>
    <x v="1"/>
    <n v="16"/>
    <n v="34.659999999999997"/>
    <x v="2"/>
    <x v="1"/>
    <x v="3"/>
    <x v="1"/>
    <n v="526.83199999999988"/>
    <x v="3"/>
    <x v="3"/>
    <n v="0"/>
    <s v="REG100389"/>
    <s v="Cust 4196"/>
    <n v="49.9"/>
    <d v="2025-02-05T00:00:00"/>
    <d v="2025-02-11T00:00:00"/>
    <x v="1"/>
  </r>
  <r>
    <x v="204"/>
    <x v="2"/>
    <x v="6"/>
    <n v="18"/>
    <n v="155.04"/>
    <x v="0"/>
    <x v="0"/>
    <x v="2"/>
    <x v="2"/>
    <n v="2372.1120000000001"/>
    <x v="4"/>
    <x v="2"/>
    <n v="0"/>
    <s v="REG100390"/>
    <s v="Cust 4189"/>
    <n v="39.99"/>
    <d v="2024-04-01T00:00:00"/>
    <d v="2024-04-04T00:00:00"/>
    <x v="2"/>
  </r>
  <r>
    <x v="89"/>
    <x v="4"/>
    <x v="4"/>
    <n v="4"/>
    <n v="69.599999999999994"/>
    <x v="3"/>
    <x v="0"/>
    <x v="3"/>
    <x v="0"/>
    <n v="264.48"/>
    <x v="1"/>
    <x v="1"/>
    <n v="0"/>
    <s v="REG100391"/>
    <s v="Cust 7226"/>
    <n v="17.68"/>
    <d v="2025-03-01T00:00:00"/>
    <d v="2025-03-09T00:00:00"/>
    <x v="4"/>
  </r>
  <r>
    <x v="318"/>
    <x v="3"/>
    <x v="4"/>
    <n v="13"/>
    <n v="55.09"/>
    <x v="1"/>
    <x v="0"/>
    <x v="2"/>
    <x v="4"/>
    <n v="608.74450000000002"/>
    <x v="4"/>
    <x v="0"/>
    <n v="1"/>
    <s v="REG100392"/>
    <s v="Cust 5015"/>
    <n v="47.78"/>
    <d v="2023-07-03T00:00:00"/>
    <d v="2023-07-06T00:00:00"/>
    <x v="3"/>
  </r>
  <r>
    <x v="319"/>
    <x v="3"/>
    <x v="0"/>
    <n v="13"/>
    <n v="206.11"/>
    <x v="0"/>
    <x v="1"/>
    <x v="2"/>
    <x v="5"/>
    <n v="2277.5155"/>
    <x v="1"/>
    <x v="1"/>
    <n v="1"/>
    <s v="REG100393"/>
    <s v="Cust 9904"/>
    <n v="22.59"/>
    <d v="2023-04-25T00:00:00"/>
    <d v="2023-05-01T00:00:00"/>
    <x v="3"/>
  </r>
  <r>
    <x v="320"/>
    <x v="4"/>
    <x v="5"/>
    <n v="14"/>
    <n v="484.38"/>
    <x v="3"/>
    <x v="1"/>
    <x v="3"/>
    <x v="2"/>
    <n v="6442.253999999999"/>
    <x v="3"/>
    <x v="1"/>
    <n v="0"/>
    <s v="REG100394"/>
    <s v="Cust 7687"/>
    <n v="29.24"/>
    <d v="2025-04-09T00:00:00"/>
    <d v="2025-04-19T00:00:00"/>
    <x v="4"/>
  </r>
  <r>
    <x v="321"/>
    <x v="2"/>
    <x v="4"/>
    <n v="6"/>
    <n v="449.57"/>
    <x v="3"/>
    <x v="0"/>
    <x v="0"/>
    <x v="2"/>
    <n v="2697.42"/>
    <x v="1"/>
    <x v="2"/>
    <n v="0"/>
    <s v="REG100395"/>
    <s v="Cust 6511"/>
    <n v="23.09"/>
    <d v="2023-11-05T00:00:00"/>
    <d v="2023-11-12T00:00:00"/>
    <x v="2"/>
  </r>
  <r>
    <x v="322"/>
    <x v="0"/>
    <x v="0"/>
    <n v="9"/>
    <n v="223.01"/>
    <x v="2"/>
    <x v="1"/>
    <x v="0"/>
    <x v="4"/>
    <n v="2007.09"/>
    <x v="4"/>
    <x v="3"/>
    <n v="1"/>
    <s v="REG100396"/>
    <s v="Cust 2412"/>
    <n v="11.9"/>
    <d v="2023-01-13T00:00:00"/>
    <d v="2023-01-19T00:00:00"/>
    <x v="0"/>
  </r>
  <r>
    <x v="323"/>
    <x v="4"/>
    <x v="3"/>
    <n v="14"/>
    <n v="291.91000000000003"/>
    <x v="1"/>
    <x v="1"/>
    <x v="2"/>
    <x v="2"/>
    <n v="3473.7289999999998"/>
    <x v="2"/>
    <x v="3"/>
    <n v="0"/>
    <s v="REG100397"/>
    <s v="Cust 1664"/>
    <n v="27.51"/>
    <d v="2025-02-06T00:00:00"/>
    <d v="2025-02-10T00:00:00"/>
    <x v="4"/>
  </r>
  <r>
    <x v="42"/>
    <x v="1"/>
    <x v="4"/>
    <n v="13"/>
    <n v="90.86"/>
    <x v="1"/>
    <x v="0"/>
    <x v="0"/>
    <x v="3"/>
    <n v="1181.18"/>
    <x v="1"/>
    <x v="1"/>
    <n v="0"/>
    <s v="REG100398"/>
    <s v="Cust 6033"/>
    <n v="16.739999999999998"/>
    <d v="2023-05-20T00:00:00"/>
    <d v="2023-05-25T00:00:00"/>
    <x v="1"/>
  </r>
  <r>
    <x v="324"/>
    <x v="0"/>
    <x v="2"/>
    <n v="4"/>
    <n v="109.05"/>
    <x v="3"/>
    <x v="0"/>
    <x v="0"/>
    <x v="4"/>
    <n v="436.2"/>
    <x v="1"/>
    <x v="2"/>
    <n v="0"/>
    <s v="REG100399"/>
    <s v="Cust 4019"/>
    <n v="21.02"/>
    <d v="2025-06-18T00:00:00"/>
    <d v="2025-06-24T00:00:00"/>
    <x v="0"/>
  </r>
  <r>
    <x v="0"/>
    <x v="4"/>
    <x v="5"/>
    <n v="12"/>
    <n v="245.6"/>
    <x v="3"/>
    <x v="1"/>
    <x v="0"/>
    <x v="5"/>
    <n v="2947.2"/>
    <x v="4"/>
    <x v="0"/>
    <n v="1"/>
    <s v="REG100400"/>
    <s v="Cust 4515"/>
    <n v="43.92"/>
    <d v="2023-02-23T00:00:00"/>
    <d v="2023-02-27T00:00:00"/>
    <x v="4"/>
  </r>
  <r>
    <x v="325"/>
    <x v="0"/>
    <x v="6"/>
    <n v="15"/>
    <n v="380.03"/>
    <x v="1"/>
    <x v="1"/>
    <x v="0"/>
    <x v="5"/>
    <n v="5700.45"/>
    <x v="0"/>
    <x v="3"/>
    <n v="0"/>
    <s v="REG100401"/>
    <s v="Cust 7532"/>
    <n v="25.72"/>
    <d v="2024-11-09T00:00:00"/>
    <d v="2024-11-12T00:00:00"/>
    <x v="0"/>
  </r>
  <r>
    <x v="245"/>
    <x v="1"/>
    <x v="5"/>
    <n v="3"/>
    <n v="417.58"/>
    <x v="3"/>
    <x v="1"/>
    <x v="3"/>
    <x v="2"/>
    <n v="1190.1030000000001"/>
    <x v="1"/>
    <x v="1"/>
    <n v="0"/>
    <s v="REG100402"/>
    <s v="Cust 8756"/>
    <n v="43.42"/>
    <d v="2024-07-25T00:00:00"/>
    <d v="2024-07-31T00:00:00"/>
    <x v="1"/>
  </r>
  <r>
    <x v="326"/>
    <x v="4"/>
    <x v="0"/>
    <n v="15"/>
    <n v="432.17"/>
    <x v="3"/>
    <x v="0"/>
    <x v="2"/>
    <x v="2"/>
    <n v="5510.1674999999996"/>
    <x v="3"/>
    <x v="2"/>
    <n v="0"/>
    <s v="REG100403"/>
    <s v="Cust 7620"/>
    <n v="44.88"/>
    <d v="2023-08-19T00:00:00"/>
    <d v="2023-08-23T00:00:00"/>
    <x v="4"/>
  </r>
  <r>
    <x v="327"/>
    <x v="1"/>
    <x v="4"/>
    <n v="13"/>
    <n v="531.77"/>
    <x v="2"/>
    <x v="1"/>
    <x v="1"/>
    <x v="5"/>
    <n v="6221.7090000000007"/>
    <x v="0"/>
    <x v="1"/>
    <n v="0"/>
    <s v="REG100404"/>
    <s v="Cust 7368"/>
    <n v="37.909999999999997"/>
    <d v="2023-11-13T00:00:00"/>
    <d v="2023-11-15T00:00:00"/>
    <x v="1"/>
  </r>
  <r>
    <x v="328"/>
    <x v="4"/>
    <x v="5"/>
    <n v="13"/>
    <n v="442.99"/>
    <x v="1"/>
    <x v="0"/>
    <x v="3"/>
    <x v="1"/>
    <n v="5470.9264999999996"/>
    <x v="1"/>
    <x v="1"/>
    <n v="0"/>
    <s v="REG100405"/>
    <s v="Cust 1319"/>
    <n v="37.119999999999997"/>
    <d v="2024-09-10T00:00:00"/>
    <d v="2024-09-18T00:00:00"/>
    <x v="4"/>
  </r>
  <r>
    <x v="315"/>
    <x v="3"/>
    <x v="3"/>
    <n v="13"/>
    <n v="567.5"/>
    <x v="1"/>
    <x v="1"/>
    <x v="0"/>
    <x v="0"/>
    <n v="7377.5"/>
    <x v="2"/>
    <x v="3"/>
    <n v="0"/>
    <s v="REG100406"/>
    <s v="Cust 9597"/>
    <n v="28.41"/>
    <d v="2024-08-30T00:00:00"/>
    <d v="2024-09-02T00:00:00"/>
    <x v="3"/>
  </r>
  <r>
    <x v="329"/>
    <x v="0"/>
    <x v="5"/>
    <n v="15"/>
    <n v="469.52"/>
    <x v="2"/>
    <x v="0"/>
    <x v="0"/>
    <x v="1"/>
    <n v="7042.7999999999993"/>
    <x v="2"/>
    <x v="0"/>
    <n v="0"/>
    <s v="REG100407"/>
    <s v="Cust 7369"/>
    <n v="35.6"/>
    <d v="2024-11-10T00:00:00"/>
    <d v="2024-11-17T00:00:00"/>
    <x v="0"/>
  </r>
  <r>
    <x v="330"/>
    <x v="0"/>
    <x v="6"/>
    <n v="1"/>
    <n v="396.09"/>
    <x v="3"/>
    <x v="0"/>
    <x v="2"/>
    <x v="2"/>
    <n v="336.67649999999998"/>
    <x v="2"/>
    <x v="2"/>
    <n v="0"/>
    <s v="REG100408"/>
    <s v="Cust 8592"/>
    <n v="39.380000000000003"/>
    <d v="2023-04-13T00:00:00"/>
    <d v="2023-04-19T00:00:00"/>
    <x v="0"/>
  </r>
  <r>
    <x v="331"/>
    <x v="0"/>
    <x v="0"/>
    <n v="12"/>
    <n v="195.73"/>
    <x v="2"/>
    <x v="0"/>
    <x v="3"/>
    <x v="1"/>
    <n v="2231.3220000000001"/>
    <x v="4"/>
    <x v="1"/>
    <n v="0"/>
    <s v="REG100409"/>
    <s v="Cust 2337"/>
    <n v="37.090000000000003"/>
    <d v="2023-11-20T00:00:00"/>
    <d v="2023-11-27T00:00:00"/>
    <x v="0"/>
  </r>
  <r>
    <x v="297"/>
    <x v="2"/>
    <x v="6"/>
    <n v="5"/>
    <n v="412.24"/>
    <x v="0"/>
    <x v="0"/>
    <x v="2"/>
    <x v="3"/>
    <n v="1752.02"/>
    <x v="4"/>
    <x v="0"/>
    <n v="0"/>
    <s v="REG100410"/>
    <s v="Cust 9697"/>
    <n v="29.31"/>
    <d v="2025-04-14T00:00:00"/>
    <d v="2025-04-19T00:00:00"/>
    <x v="2"/>
  </r>
  <r>
    <x v="332"/>
    <x v="3"/>
    <x v="4"/>
    <n v="11"/>
    <n v="558.5"/>
    <x v="0"/>
    <x v="1"/>
    <x v="2"/>
    <x v="3"/>
    <n v="5221.9749999999995"/>
    <x v="4"/>
    <x v="2"/>
    <n v="0"/>
    <s v="REG100411"/>
    <s v="Cust 5895"/>
    <n v="48.15"/>
    <d v="2023-03-04T00:00:00"/>
    <d v="2023-03-09T00:00:00"/>
    <x v="3"/>
  </r>
  <r>
    <x v="85"/>
    <x v="2"/>
    <x v="0"/>
    <n v="4"/>
    <n v="175.34"/>
    <x v="2"/>
    <x v="1"/>
    <x v="2"/>
    <x v="0"/>
    <n v="596.15599999999995"/>
    <x v="4"/>
    <x v="0"/>
    <n v="0"/>
    <s v="REG100412"/>
    <s v="Cust 9097"/>
    <n v="40.86"/>
    <d v="2024-11-16T00:00:00"/>
    <d v="2024-11-19T00:00:00"/>
    <x v="2"/>
  </r>
  <r>
    <x v="333"/>
    <x v="1"/>
    <x v="0"/>
    <n v="19"/>
    <n v="478.73"/>
    <x v="1"/>
    <x v="1"/>
    <x v="0"/>
    <x v="2"/>
    <n v="9095.8700000000008"/>
    <x v="3"/>
    <x v="2"/>
    <n v="1"/>
    <s v="REG100413"/>
    <s v="Cust 5938"/>
    <n v="46.46"/>
    <d v="2024-05-25T00:00:00"/>
    <d v="2024-06-02T00:00:00"/>
    <x v="1"/>
  </r>
  <r>
    <x v="264"/>
    <x v="0"/>
    <x v="2"/>
    <n v="5"/>
    <n v="365.38"/>
    <x v="3"/>
    <x v="0"/>
    <x v="2"/>
    <x v="1"/>
    <n v="1552.865"/>
    <x v="3"/>
    <x v="1"/>
    <n v="1"/>
    <s v="REG100414"/>
    <s v="Cust 6928"/>
    <n v="5.66"/>
    <d v="2023-04-12T00:00:00"/>
    <d v="2023-04-15T00:00:00"/>
    <x v="0"/>
  </r>
  <r>
    <x v="334"/>
    <x v="1"/>
    <x v="2"/>
    <n v="10"/>
    <n v="397.33"/>
    <x v="0"/>
    <x v="1"/>
    <x v="2"/>
    <x v="1"/>
    <n v="3377.3049999999998"/>
    <x v="2"/>
    <x v="3"/>
    <n v="0"/>
    <s v="REG100415"/>
    <s v="Cust 6223"/>
    <n v="10.199999999999999"/>
    <d v="2023-03-07T00:00:00"/>
    <d v="2023-03-13T00:00:00"/>
    <x v="1"/>
  </r>
  <r>
    <x v="52"/>
    <x v="3"/>
    <x v="3"/>
    <n v="17"/>
    <n v="241.01"/>
    <x v="1"/>
    <x v="1"/>
    <x v="1"/>
    <x v="5"/>
    <n v="3687.453"/>
    <x v="3"/>
    <x v="2"/>
    <n v="0"/>
    <s v="REG100416"/>
    <s v="Cust 7614"/>
    <n v="24.69"/>
    <d v="2024-01-05T00:00:00"/>
    <d v="2024-01-11T00:00:00"/>
    <x v="3"/>
  </r>
  <r>
    <x v="335"/>
    <x v="4"/>
    <x v="2"/>
    <n v="17"/>
    <n v="82.2"/>
    <x v="2"/>
    <x v="0"/>
    <x v="0"/>
    <x v="1"/>
    <n v="1397.4"/>
    <x v="4"/>
    <x v="2"/>
    <n v="0"/>
    <s v="REG100417"/>
    <s v="Cust 3231"/>
    <n v="32.5"/>
    <d v="2024-10-31T00:00:00"/>
    <d v="2024-11-10T00:00:00"/>
    <x v="4"/>
  </r>
  <r>
    <x v="336"/>
    <x v="4"/>
    <x v="4"/>
    <n v="16"/>
    <n v="170.77"/>
    <x v="2"/>
    <x v="1"/>
    <x v="1"/>
    <x v="2"/>
    <n v="2459.0880000000002"/>
    <x v="0"/>
    <x v="1"/>
    <n v="1"/>
    <s v="REG100418"/>
    <s v="Cust 9123"/>
    <n v="45.93"/>
    <d v="2024-05-08T00:00:00"/>
    <d v="2024-05-14T00:00:00"/>
    <x v="4"/>
  </r>
  <r>
    <x v="337"/>
    <x v="3"/>
    <x v="4"/>
    <n v="1"/>
    <n v="8.1999999999999993"/>
    <x v="2"/>
    <x v="0"/>
    <x v="2"/>
    <x v="2"/>
    <n v="6.9699999999999989"/>
    <x v="3"/>
    <x v="3"/>
    <n v="0"/>
    <s v="REG100419"/>
    <s v="Cust 7054"/>
    <n v="30.35"/>
    <d v="2024-03-05T00:00:00"/>
    <d v="2024-03-15T00:00:00"/>
    <x v="3"/>
  </r>
  <r>
    <x v="338"/>
    <x v="2"/>
    <x v="0"/>
    <n v="12"/>
    <n v="425.78"/>
    <x v="1"/>
    <x v="1"/>
    <x v="1"/>
    <x v="5"/>
    <n v="4598.424"/>
    <x v="0"/>
    <x v="3"/>
    <n v="1"/>
    <s v="REG100420"/>
    <s v="Cust 4240"/>
    <n v="25.48"/>
    <d v="2023-07-18T00:00:00"/>
    <d v="2023-07-22T00:00:00"/>
    <x v="2"/>
  </r>
  <r>
    <x v="285"/>
    <x v="1"/>
    <x v="6"/>
    <n v="20"/>
    <n v="121.14"/>
    <x v="2"/>
    <x v="1"/>
    <x v="1"/>
    <x v="5"/>
    <n v="2180.52"/>
    <x v="2"/>
    <x v="0"/>
    <n v="0"/>
    <s v="REG100421"/>
    <s v="Cust 1237"/>
    <n v="21.47"/>
    <d v="2023-08-05T00:00:00"/>
    <d v="2023-08-14T00:00:00"/>
    <x v="1"/>
  </r>
  <r>
    <x v="339"/>
    <x v="4"/>
    <x v="5"/>
    <n v="19"/>
    <n v="448.13"/>
    <x v="3"/>
    <x v="0"/>
    <x v="0"/>
    <x v="1"/>
    <n v="8514.4699999999993"/>
    <x v="3"/>
    <x v="0"/>
    <n v="0"/>
    <s v="REG100422"/>
    <s v="Cust 5513"/>
    <n v="28.29"/>
    <d v="2023-09-18T00:00:00"/>
    <d v="2023-09-20T00:00:00"/>
    <x v="4"/>
  </r>
  <r>
    <x v="340"/>
    <x v="1"/>
    <x v="0"/>
    <n v="8"/>
    <n v="7.81"/>
    <x v="3"/>
    <x v="0"/>
    <x v="1"/>
    <x v="2"/>
    <n v="56.231999999999999"/>
    <x v="0"/>
    <x v="1"/>
    <n v="0"/>
    <s v="REG100423"/>
    <s v="Cust 1835"/>
    <n v="25.03"/>
    <d v="2023-03-27T00:00:00"/>
    <d v="2023-03-29T00:00:00"/>
    <x v="1"/>
  </r>
  <r>
    <x v="341"/>
    <x v="0"/>
    <x v="3"/>
    <n v="19"/>
    <n v="191.44"/>
    <x v="2"/>
    <x v="0"/>
    <x v="2"/>
    <x v="3"/>
    <n v="3091.7559999999999"/>
    <x v="4"/>
    <x v="2"/>
    <n v="1"/>
    <s v="REG100424"/>
    <s v="Cust 8492"/>
    <n v="35.54"/>
    <d v="2023-03-08T00:00:00"/>
    <d v="2023-03-17T00:00:00"/>
    <x v="0"/>
  </r>
  <r>
    <x v="342"/>
    <x v="4"/>
    <x v="2"/>
    <n v="5"/>
    <n v="245.2"/>
    <x v="0"/>
    <x v="1"/>
    <x v="2"/>
    <x v="0"/>
    <n v="1042.0999999999999"/>
    <x v="0"/>
    <x v="3"/>
    <n v="0"/>
    <s v="REG100425"/>
    <s v="Cust 2451"/>
    <n v="46.37"/>
    <d v="2024-05-02T00:00:00"/>
    <d v="2024-05-06T00:00:00"/>
    <x v="4"/>
  </r>
  <r>
    <x v="292"/>
    <x v="2"/>
    <x v="2"/>
    <n v="17"/>
    <n v="163.37"/>
    <x v="0"/>
    <x v="0"/>
    <x v="2"/>
    <x v="0"/>
    <n v="2360.6965"/>
    <x v="1"/>
    <x v="1"/>
    <n v="0"/>
    <s v="REG100426"/>
    <s v="Cust 4509"/>
    <n v="5.36"/>
    <d v="2023-09-16T00:00:00"/>
    <d v="2023-09-26T00:00:00"/>
    <x v="2"/>
  </r>
  <r>
    <x v="343"/>
    <x v="1"/>
    <x v="5"/>
    <n v="14"/>
    <n v="583.96"/>
    <x v="2"/>
    <x v="1"/>
    <x v="0"/>
    <x v="4"/>
    <n v="8175.4400000000014"/>
    <x v="3"/>
    <x v="2"/>
    <n v="0"/>
    <s v="REG100427"/>
    <s v="Cust 6643"/>
    <n v="23.03"/>
    <d v="2023-06-13T00:00:00"/>
    <d v="2023-06-22T00:00:00"/>
    <x v="1"/>
  </r>
  <r>
    <x v="321"/>
    <x v="2"/>
    <x v="2"/>
    <n v="16"/>
    <n v="181.08"/>
    <x v="2"/>
    <x v="1"/>
    <x v="1"/>
    <x v="3"/>
    <n v="2607.5520000000001"/>
    <x v="0"/>
    <x v="2"/>
    <n v="0"/>
    <s v="REG100428"/>
    <s v="Cust 2559"/>
    <n v="39.840000000000003"/>
    <d v="2023-11-05T00:00:00"/>
    <d v="2023-11-08T00:00:00"/>
    <x v="2"/>
  </r>
  <r>
    <x v="344"/>
    <x v="1"/>
    <x v="5"/>
    <n v="8"/>
    <n v="414.94"/>
    <x v="1"/>
    <x v="0"/>
    <x v="0"/>
    <x v="1"/>
    <n v="3319.52"/>
    <x v="3"/>
    <x v="1"/>
    <n v="0"/>
    <s v="REG100429"/>
    <s v="Cust 4423"/>
    <n v="46.58"/>
    <d v="2024-11-23T00:00:00"/>
    <d v="2024-11-26T00:00:00"/>
    <x v="1"/>
  </r>
  <r>
    <x v="345"/>
    <x v="3"/>
    <x v="1"/>
    <n v="16"/>
    <n v="442.22"/>
    <x v="0"/>
    <x v="1"/>
    <x v="0"/>
    <x v="1"/>
    <n v="7075.52"/>
    <x v="4"/>
    <x v="0"/>
    <n v="0"/>
    <s v="REG100430"/>
    <s v="Cust 9139"/>
    <n v="27.36"/>
    <d v="2024-02-09T00:00:00"/>
    <d v="2024-02-18T00:00:00"/>
    <x v="3"/>
  </r>
  <r>
    <x v="346"/>
    <x v="3"/>
    <x v="6"/>
    <n v="14"/>
    <n v="595.39"/>
    <x v="1"/>
    <x v="0"/>
    <x v="1"/>
    <x v="5"/>
    <n v="7501.9139999999998"/>
    <x v="2"/>
    <x v="1"/>
    <n v="0"/>
    <s v="REG100431"/>
    <s v="Cust 6668"/>
    <n v="9.51"/>
    <d v="2023-11-16T00:00:00"/>
    <d v="2023-11-22T00:00:00"/>
    <x v="3"/>
  </r>
  <r>
    <x v="239"/>
    <x v="3"/>
    <x v="4"/>
    <n v="6"/>
    <n v="175.3"/>
    <x v="1"/>
    <x v="0"/>
    <x v="2"/>
    <x v="1"/>
    <n v="894.03000000000009"/>
    <x v="4"/>
    <x v="1"/>
    <n v="1"/>
    <s v="REG100432"/>
    <s v="Cust 4315"/>
    <n v="17.920000000000002"/>
    <d v="2025-01-24T00:00:00"/>
    <d v="2025-01-29T00:00:00"/>
    <x v="3"/>
  </r>
  <r>
    <x v="276"/>
    <x v="3"/>
    <x v="5"/>
    <n v="7"/>
    <n v="319.58999999999997"/>
    <x v="2"/>
    <x v="0"/>
    <x v="2"/>
    <x v="3"/>
    <n v="1901.5605"/>
    <x v="1"/>
    <x v="2"/>
    <n v="1"/>
    <s v="REG100433"/>
    <s v="Cust 8000"/>
    <n v="8.4700000000000006"/>
    <d v="2025-05-06T00:00:00"/>
    <d v="2025-05-09T00:00:00"/>
    <x v="3"/>
  </r>
  <r>
    <x v="347"/>
    <x v="0"/>
    <x v="6"/>
    <n v="15"/>
    <n v="506.81"/>
    <x v="1"/>
    <x v="1"/>
    <x v="2"/>
    <x v="5"/>
    <n v="6461.8274999999994"/>
    <x v="4"/>
    <x v="0"/>
    <n v="1"/>
    <s v="REG100434"/>
    <s v="Cust 7585"/>
    <n v="41.03"/>
    <d v="2025-05-17T00:00:00"/>
    <d v="2025-05-27T00:00:00"/>
    <x v="0"/>
  </r>
  <r>
    <x v="348"/>
    <x v="3"/>
    <x v="0"/>
    <n v="17"/>
    <n v="538.08000000000004"/>
    <x v="1"/>
    <x v="1"/>
    <x v="3"/>
    <x v="0"/>
    <n v="8689.9920000000002"/>
    <x v="3"/>
    <x v="0"/>
    <n v="0"/>
    <s v="REG100435"/>
    <s v="Cust 3127"/>
    <n v="19.61"/>
    <d v="2023-11-29T00:00:00"/>
    <d v="2023-12-01T00:00:00"/>
    <x v="3"/>
  </r>
  <r>
    <x v="349"/>
    <x v="1"/>
    <x v="3"/>
    <n v="16"/>
    <n v="187.84"/>
    <x v="1"/>
    <x v="1"/>
    <x v="0"/>
    <x v="1"/>
    <n v="3005.44"/>
    <x v="2"/>
    <x v="1"/>
    <n v="0"/>
    <s v="REG100436"/>
    <s v="Cust 4130"/>
    <n v="18.649999999999999"/>
    <d v="2023-02-24T00:00:00"/>
    <d v="2023-02-26T00:00:00"/>
    <x v="1"/>
  </r>
  <r>
    <x v="350"/>
    <x v="1"/>
    <x v="0"/>
    <n v="18"/>
    <n v="426.3"/>
    <x v="1"/>
    <x v="0"/>
    <x v="2"/>
    <x v="3"/>
    <n v="6522.39"/>
    <x v="2"/>
    <x v="3"/>
    <n v="1"/>
    <s v="REG100437"/>
    <s v="Cust 6956"/>
    <n v="29.81"/>
    <d v="2023-11-04T00:00:00"/>
    <d v="2023-11-10T00:00:00"/>
    <x v="1"/>
  </r>
  <r>
    <x v="351"/>
    <x v="0"/>
    <x v="2"/>
    <n v="1"/>
    <n v="498.35"/>
    <x v="0"/>
    <x v="1"/>
    <x v="1"/>
    <x v="1"/>
    <n v="448.51499999999999"/>
    <x v="0"/>
    <x v="0"/>
    <n v="0"/>
    <s v="REG100438"/>
    <s v="Cust 8155"/>
    <n v="34.700000000000003"/>
    <d v="2024-06-15T00:00:00"/>
    <d v="2024-06-22T00:00:00"/>
    <x v="0"/>
  </r>
  <r>
    <x v="352"/>
    <x v="2"/>
    <x v="5"/>
    <n v="19"/>
    <n v="385.72"/>
    <x v="1"/>
    <x v="1"/>
    <x v="3"/>
    <x v="3"/>
    <n v="6962.2460000000001"/>
    <x v="4"/>
    <x v="1"/>
    <n v="1"/>
    <s v="REG100439"/>
    <s v="Cust 8852"/>
    <n v="12.46"/>
    <d v="2024-10-02T00:00:00"/>
    <d v="2024-10-06T00:00:00"/>
    <x v="2"/>
  </r>
  <r>
    <x v="353"/>
    <x v="4"/>
    <x v="5"/>
    <n v="3"/>
    <n v="54.37"/>
    <x v="0"/>
    <x v="0"/>
    <x v="1"/>
    <x v="2"/>
    <n v="146.79900000000001"/>
    <x v="2"/>
    <x v="2"/>
    <n v="0"/>
    <s v="REG100440"/>
    <s v="Cust 2850"/>
    <n v="48.71"/>
    <d v="2023-06-03T00:00:00"/>
    <d v="2023-06-13T00:00:00"/>
    <x v="4"/>
  </r>
  <r>
    <x v="354"/>
    <x v="0"/>
    <x v="1"/>
    <n v="6"/>
    <n v="471.74"/>
    <x v="2"/>
    <x v="1"/>
    <x v="2"/>
    <x v="3"/>
    <n v="2405.8739999999998"/>
    <x v="0"/>
    <x v="3"/>
    <n v="0"/>
    <s v="REG100441"/>
    <s v="Cust 9572"/>
    <n v="36.79"/>
    <d v="2023-09-10T00:00:00"/>
    <d v="2023-09-18T00:00:00"/>
    <x v="0"/>
  </r>
  <r>
    <x v="355"/>
    <x v="3"/>
    <x v="6"/>
    <n v="19"/>
    <n v="322.31"/>
    <x v="0"/>
    <x v="1"/>
    <x v="2"/>
    <x v="5"/>
    <n v="5205.3065000000006"/>
    <x v="4"/>
    <x v="0"/>
    <n v="0"/>
    <s v="REG100442"/>
    <s v="Cust 6253"/>
    <n v="33.950000000000003"/>
    <d v="2025-05-20T00:00:00"/>
    <d v="2025-05-22T00:00:00"/>
    <x v="3"/>
  </r>
  <r>
    <x v="356"/>
    <x v="2"/>
    <x v="5"/>
    <n v="13"/>
    <n v="115.86"/>
    <x v="1"/>
    <x v="0"/>
    <x v="1"/>
    <x v="4"/>
    <n v="1355.5619999999999"/>
    <x v="4"/>
    <x v="3"/>
    <n v="1"/>
    <s v="REG100443"/>
    <s v="Cust 4154"/>
    <n v="28.52"/>
    <d v="2023-09-24T00:00:00"/>
    <d v="2023-10-03T00:00:00"/>
    <x v="2"/>
  </r>
  <r>
    <x v="259"/>
    <x v="0"/>
    <x v="5"/>
    <n v="18"/>
    <n v="398.26"/>
    <x v="0"/>
    <x v="1"/>
    <x v="1"/>
    <x v="5"/>
    <n v="6451.8120000000008"/>
    <x v="3"/>
    <x v="3"/>
    <n v="0"/>
    <s v="REG100444"/>
    <s v="Cust 2137"/>
    <n v="16.8"/>
    <d v="2025-03-29T00:00:00"/>
    <d v="2025-04-04T00:00:00"/>
    <x v="0"/>
  </r>
  <r>
    <x v="357"/>
    <x v="0"/>
    <x v="3"/>
    <n v="4"/>
    <n v="584.79999999999995"/>
    <x v="0"/>
    <x v="1"/>
    <x v="1"/>
    <x v="0"/>
    <n v="2105.2800000000002"/>
    <x v="0"/>
    <x v="0"/>
    <n v="0"/>
    <s v="REG100445"/>
    <s v="Cust 8157"/>
    <n v="16.440000000000001"/>
    <d v="2023-06-17T00:00:00"/>
    <d v="2023-06-25T00:00:00"/>
    <x v="0"/>
  </r>
  <r>
    <x v="275"/>
    <x v="4"/>
    <x v="6"/>
    <n v="20"/>
    <n v="424.7"/>
    <x v="0"/>
    <x v="0"/>
    <x v="2"/>
    <x v="5"/>
    <n v="7219.9"/>
    <x v="0"/>
    <x v="0"/>
    <n v="0"/>
    <s v="REG100446"/>
    <s v="Cust 4861"/>
    <n v="42.03"/>
    <d v="2024-01-28T00:00:00"/>
    <d v="2024-02-05T00:00:00"/>
    <x v="4"/>
  </r>
  <r>
    <x v="358"/>
    <x v="3"/>
    <x v="3"/>
    <n v="16"/>
    <n v="179.22"/>
    <x v="3"/>
    <x v="1"/>
    <x v="1"/>
    <x v="1"/>
    <n v="2580.768"/>
    <x v="0"/>
    <x v="2"/>
    <n v="0"/>
    <s v="REG100447"/>
    <s v="Cust 7493"/>
    <n v="45.99"/>
    <d v="2023-03-14T00:00:00"/>
    <d v="2023-03-17T00:00:00"/>
    <x v="3"/>
  </r>
  <r>
    <x v="359"/>
    <x v="0"/>
    <x v="0"/>
    <n v="12"/>
    <n v="148.66"/>
    <x v="1"/>
    <x v="0"/>
    <x v="0"/>
    <x v="4"/>
    <n v="1783.92"/>
    <x v="0"/>
    <x v="3"/>
    <n v="1"/>
    <s v="REG100448"/>
    <s v="Cust 7073"/>
    <n v="27.16"/>
    <d v="2025-01-09T00:00:00"/>
    <d v="2025-01-17T00:00:00"/>
    <x v="0"/>
  </r>
  <r>
    <x v="360"/>
    <x v="3"/>
    <x v="1"/>
    <n v="16"/>
    <n v="460.43"/>
    <x v="0"/>
    <x v="0"/>
    <x v="2"/>
    <x v="5"/>
    <n v="6261.848"/>
    <x v="0"/>
    <x v="2"/>
    <n v="0"/>
    <s v="REG100449"/>
    <s v="Cust 9085"/>
    <n v="20.38"/>
    <d v="2025-03-30T00:00:00"/>
    <d v="2025-04-06T00:00:00"/>
    <x v="3"/>
  </r>
  <r>
    <x v="25"/>
    <x v="0"/>
    <x v="5"/>
    <n v="5"/>
    <n v="334.37"/>
    <x v="0"/>
    <x v="1"/>
    <x v="3"/>
    <x v="3"/>
    <n v="1588.2574999999999"/>
    <x v="2"/>
    <x v="3"/>
    <n v="0"/>
    <s v="REG100450"/>
    <s v="Cust 3247"/>
    <n v="32.130000000000003"/>
    <d v="2023-10-23T00:00:00"/>
    <d v="2023-10-28T00:00:00"/>
    <x v="0"/>
  </r>
  <r>
    <x v="119"/>
    <x v="4"/>
    <x v="4"/>
    <n v="3"/>
    <n v="599.72"/>
    <x v="3"/>
    <x v="1"/>
    <x v="2"/>
    <x v="1"/>
    <n v="1529.2860000000001"/>
    <x v="0"/>
    <x v="2"/>
    <n v="1"/>
    <s v="REG100451"/>
    <s v="Cust 8504"/>
    <n v="14.93"/>
    <d v="2025-06-08T00:00:00"/>
    <d v="2025-06-14T00:00:00"/>
    <x v="4"/>
  </r>
  <r>
    <x v="361"/>
    <x v="4"/>
    <x v="4"/>
    <n v="11"/>
    <n v="389.84"/>
    <x v="3"/>
    <x v="0"/>
    <x v="0"/>
    <x v="1"/>
    <n v="4288.24"/>
    <x v="1"/>
    <x v="1"/>
    <n v="1"/>
    <s v="REG100452"/>
    <s v="Cust 4164"/>
    <n v="10.24"/>
    <d v="2024-02-26T00:00:00"/>
    <d v="2024-02-29T00:00:00"/>
    <x v="4"/>
  </r>
  <r>
    <x v="362"/>
    <x v="0"/>
    <x v="3"/>
    <n v="11"/>
    <n v="445.75"/>
    <x v="1"/>
    <x v="0"/>
    <x v="1"/>
    <x v="2"/>
    <n v="4412.9250000000002"/>
    <x v="0"/>
    <x v="1"/>
    <n v="0"/>
    <s v="REG100453"/>
    <s v="Cust 9592"/>
    <n v="18.07"/>
    <d v="2024-10-30T00:00:00"/>
    <d v="2024-11-07T00:00:00"/>
    <x v="0"/>
  </r>
  <r>
    <x v="363"/>
    <x v="1"/>
    <x v="0"/>
    <n v="18"/>
    <n v="96.84"/>
    <x v="1"/>
    <x v="0"/>
    <x v="2"/>
    <x v="2"/>
    <n v="1481.652"/>
    <x v="4"/>
    <x v="1"/>
    <n v="1"/>
    <s v="REG100454"/>
    <s v="Cust 7450"/>
    <n v="8.1"/>
    <d v="2024-08-19T00:00:00"/>
    <d v="2024-08-23T00:00:00"/>
    <x v="1"/>
  </r>
  <r>
    <x v="364"/>
    <x v="3"/>
    <x v="3"/>
    <n v="1"/>
    <n v="528.30999999999995"/>
    <x v="2"/>
    <x v="0"/>
    <x v="1"/>
    <x v="1"/>
    <n v="475.47899999999998"/>
    <x v="0"/>
    <x v="0"/>
    <n v="0"/>
    <s v="REG100455"/>
    <s v="Cust 4186"/>
    <n v="24.55"/>
    <d v="2023-07-30T00:00:00"/>
    <d v="2023-08-09T00:00:00"/>
    <x v="3"/>
  </r>
  <r>
    <x v="365"/>
    <x v="2"/>
    <x v="4"/>
    <n v="16"/>
    <n v="64.03"/>
    <x v="1"/>
    <x v="0"/>
    <x v="0"/>
    <x v="3"/>
    <n v="1024.48"/>
    <x v="1"/>
    <x v="2"/>
    <n v="1"/>
    <s v="REG100456"/>
    <s v="Cust 3305"/>
    <n v="16.71"/>
    <d v="2024-08-13T00:00:00"/>
    <d v="2024-08-23T00:00:00"/>
    <x v="2"/>
  </r>
  <r>
    <x v="350"/>
    <x v="2"/>
    <x v="6"/>
    <n v="13"/>
    <n v="179.37"/>
    <x v="1"/>
    <x v="1"/>
    <x v="3"/>
    <x v="0"/>
    <n v="2215.2195000000002"/>
    <x v="0"/>
    <x v="0"/>
    <n v="0"/>
    <s v="REG100457"/>
    <s v="Cust 9768"/>
    <n v="35.28"/>
    <d v="2023-11-04T00:00:00"/>
    <d v="2023-11-12T00:00:00"/>
    <x v="2"/>
  </r>
  <r>
    <x v="20"/>
    <x v="0"/>
    <x v="6"/>
    <n v="19"/>
    <n v="491.15"/>
    <x v="2"/>
    <x v="1"/>
    <x v="0"/>
    <x v="2"/>
    <n v="9331.85"/>
    <x v="0"/>
    <x v="3"/>
    <n v="0"/>
    <s v="REG100458"/>
    <s v="Cust 1179"/>
    <n v="48.68"/>
    <d v="2025-06-05T00:00:00"/>
    <d v="2025-06-15T00:00:00"/>
    <x v="0"/>
  </r>
  <r>
    <x v="366"/>
    <x v="2"/>
    <x v="6"/>
    <n v="5"/>
    <n v="360.34"/>
    <x v="2"/>
    <x v="0"/>
    <x v="0"/>
    <x v="3"/>
    <n v="1801.7"/>
    <x v="1"/>
    <x v="3"/>
    <n v="0"/>
    <s v="REG100459"/>
    <s v="Cust 2546"/>
    <n v="33.76"/>
    <d v="2023-06-23T00:00:00"/>
    <d v="2023-06-28T00:00:00"/>
    <x v="2"/>
  </r>
  <r>
    <x v="367"/>
    <x v="1"/>
    <x v="0"/>
    <n v="20"/>
    <n v="296.8"/>
    <x v="1"/>
    <x v="1"/>
    <x v="1"/>
    <x v="2"/>
    <n v="5342.4000000000005"/>
    <x v="1"/>
    <x v="3"/>
    <n v="0"/>
    <s v="REG100460"/>
    <s v="Cust 2672"/>
    <n v="19.57"/>
    <d v="2024-09-21T00:00:00"/>
    <d v="2024-09-28T00:00:00"/>
    <x v="1"/>
  </r>
  <r>
    <x v="223"/>
    <x v="1"/>
    <x v="2"/>
    <n v="3"/>
    <n v="599.41999999999996"/>
    <x v="1"/>
    <x v="0"/>
    <x v="1"/>
    <x v="5"/>
    <n v="1618.434"/>
    <x v="0"/>
    <x v="1"/>
    <n v="0"/>
    <s v="REG100461"/>
    <s v="Cust 3394"/>
    <n v="48.02"/>
    <d v="2024-01-01T00:00:00"/>
    <d v="2024-01-03T00:00:00"/>
    <x v="1"/>
  </r>
  <r>
    <x v="368"/>
    <x v="4"/>
    <x v="0"/>
    <n v="1"/>
    <n v="374.33"/>
    <x v="0"/>
    <x v="0"/>
    <x v="0"/>
    <x v="3"/>
    <n v="374.33"/>
    <x v="2"/>
    <x v="0"/>
    <n v="0"/>
    <s v="REG100462"/>
    <s v="Cust 1649"/>
    <n v="33.31"/>
    <d v="2025-01-02T00:00:00"/>
    <d v="2025-01-12T00:00:00"/>
    <x v="4"/>
  </r>
  <r>
    <x v="47"/>
    <x v="2"/>
    <x v="2"/>
    <n v="13"/>
    <n v="588.79999999999995"/>
    <x v="3"/>
    <x v="0"/>
    <x v="2"/>
    <x v="2"/>
    <n v="6506.24"/>
    <x v="4"/>
    <x v="1"/>
    <n v="0"/>
    <s v="REG100463"/>
    <s v="Cust 6994"/>
    <n v="45.03"/>
    <d v="2024-03-14T00:00:00"/>
    <d v="2024-03-21T00:00:00"/>
    <x v="2"/>
  </r>
  <r>
    <x v="369"/>
    <x v="4"/>
    <x v="4"/>
    <n v="13"/>
    <n v="198.44"/>
    <x v="3"/>
    <x v="0"/>
    <x v="0"/>
    <x v="3"/>
    <n v="2579.7199999999998"/>
    <x v="4"/>
    <x v="1"/>
    <n v="1"/>
    <s v="REG100464"/>
    <s v="Cust 9879"/>
    <n v="31.51"/>
    <d v="2024-05-04T00:00:00"/>
    <d v="2024-05-09T00:00:00"/>
    <x v="4"/>
  </r>
  <r>
    <x v="370"/>
    <x v="1"/>
    <x v="6"/>
    <n v="12"/>
    <n v="384.2"/>
    <x v="1"/>
    <x v="1"/>
    <x v="0"/>
    <x v="0"/>
    <n v="4610.3999999999996"/>
    <x v="4"/>
    <x v="0"/>
    <n v="0"/>
    <s v="REG100465"/>
    <s v="Cust 9069"/>
    <n v="38.99"/>
    <d v="2025-02-27T00:00:00"/>
    <d v="2025-03-02T00:00:00"/>
    <x v="1"/>
  </r>
  <r>
    <x v="371"/>
    <x v="3"/>
    <x v="1"/>
    <n v="4"/>
    <n v="475.49"/>
    <x v="0"/>
    <x v="0"/>
    <x v="2"/>
    <x v="2"/>
    <n v="1616.6659999999999"/>
    <x v="4"/>
    <x v="2"/>
    <n v="0"/>
    <s v="REG100466"/>
    <s v="Cust 3712"/>
    <n v="11.6"/>
    <d v="2024-11-13T00:00:00"/>
    <d v="2024-11-17T00:00:00"/>
    <x v="3"/>
  </r>
  <r>
    <x v="372"/>
    <x v="4"/>
    <x v="6"/>
    <n v="6"/>
    <n v="202.97"/>
    <x v="2"/>
    <x v="1"/>
    <x v="1"/>
    <x v="0"/>
    <n v="1096.038"/>
    <x v="1"/>
    <x v="2"/>
    <n v="0"/>
    <s v="REG100467"/>
    <s v="Cust 3829"/>
    <n v="43.55"/>
    <d v="2023-10-31T00:00:00"/>
    <d v="2023-11-10T00:00:00"/>
    <x v="4"/>
  </r>
  <r>
    <x v="373"/>
    <x v="3"/>
    <x v="5"/>
    <n v="18"/>
    <n v="135.22999999999999"/>
    <x v="2"/>
    <x v="0"/>
    <x v="0"/>
    <x v="4"/>
    <n v="2434.14"/>
    <x v="0"/>
    <x v="2"/>
    <n v="1"/>
    <s v="REG100468"/>
    <s v="Cust 1623"/>
    <n v="46.1"/>
    <d v="2023-12-19T00:00:00"/>
    <d v="2023-12-24T00:00:00"/>
    <x v="3"/>
  </r>
  <r>
    <x v="165"/>
    <x v="1"/>
    <x v="5"/>
    <n v="20"/>
    <n v="356.4"/>
    <x v="2"/>
    <x v="0"/>
    <x v="3"/>
    <x v="4"/>
    <n v="6771.5999999999995"/>
    <x v="4"/>
    <x v="0"/>
    <n v="1"/>
    <s v="REG100469"/>
    <s v="Cust 3532"/>
    <n v="26.7"/>
    <d v="2023-11-27T00:00:00"/>
    <d v="2023-12-03T00:00:00"/>
    <x v="1"/>
  </r>
  <r>
    <x v="374"/>
    <x v="0"/>
    <x v="0"/>
    <n v="3"/>
    <n v="294.72000000000003"/>
    <x v="2"/>
    <x v="0"/>
    <x v="3"/>
    <x v="1"/>
    <n v="839.952"/>
    <x v="4"/>
    <x v="1"/>
    <n v="0"/>
    <s v="REG100470"/>
    <s v="Cust 4712"/>
    <n v="45.33"/>
    <d v="2023-08-15T00:00:00"/>
    <d v="2023-08-18T00:00:00"/>
    <x v="0"/>
  </r>
  <r>
    <x v="375"/>
    <x v="4"/>
    <x v="1"/>
    <n v="20"/>
    <n v="553.85"/>
    <x v="1"/>
    <x v="1"/>
    <x v="0"/>
    <x v="2"/>
    <n v="11077"/>
    <x v="4"/>
    <x v="2"/>
    <n v="0"/>
    <s v="REG100471"/>
    <s v="Cust 6211"/>
    <n v="33.21"/>
    <d v="2023-01-16T00:00:00"/>
    <d v="2023-01-24T00:00:00"/>
    <x v="4"/>
  </r>
  <r>
    <x v="376"/>
    <x v="3"/>
    <x v="5"/>
    <n v="13"/>
    <n v="81.17"/>
    <x v="3"/>
    <x v="1"/>
    <x v="1"/>
    <x v="2"/>
    <n v="949.68900000000008"/>
    <x v="4"/>
    <x v="1"/>
    <n v="1"/>
    <s v="REG100472"/>
    <s v="Cust 1222"/>
    <n v="48.21"/>
    <d v="2025-02-28T00:00:00"/>
    <d v="2025-03-08T00:00:00"/>
    <x v="3"/>
  </r>
  <r>
    <x v="206"/>
    <x v="4"/>
    <x v="1"/>
    <n v="2"/>
    <n v="532.51"/>
    <x v="0"/>
    <x v="0"/>
    <x v="0"/>
    <x v="3"/>
    <n v="1065.02"/>
    <x v="2"/>
    <x v="2"/>
    <n v="1"/>
    <s v="REG100473"/>
    <s v="Cust 6208"/>
    <n v="49.67"/>
    <d v="2023-11-28T00:00:00"/>
    <d v="2023-12-01T00:00:00"/>
    <x v="4"/>
  </r>
  <r>
    <x v="377"/>
    <x v="4"/>
    <x v="6"/>
    <n v="1"/>
    <n v="268.19"/>
    <x v="0"/>
    <x v="0"/>
    <x v="1"/>
    <x v="3"/>
    <n v="241.37100000000001"/>
    <x v="1"/>
    <x v="2"/>
    <n v="0"/>
    <s v="REG100474"/>
    <s v="Cust 5942"/>
    <n v="9.48"/>
    <d v="2023-12-04T00:00:00"/>
    <d v="2023-12-13T00:00:00"/>
    <x v="4"/>
  </r>
  <r>
    <x v="378"/>
    <x v="1"/>
    <x v="6"/>
    <n v="17"/>
    <n v="432.65"/>
    <x v="1"/>
    <x v="1"/>
    <x v="2"/>
    <x v="2"/>
    <n v="6251.7924999999996"/>
    <x v="4"/>
    <x v="0"/>
    <n v="0"/>
    <s v="REG100475"/>
    <s v="Cust 1745"/>
    <n v="18.850000000000001"/>
    <d v="2024-06-21T00:00:00"/>
    <d v="2024-06-29T00:00:00"/>
    <x v="1"/>
  </r>
  <r>
    <x v="253"/>
    <x v="0"/>
    <x v="2"/>
    <n v="14"/>
    <n v="123.04"/>
    <x v="1"/>
    <x v="0"/>
    <x v="1"/>
    <x v="4"/>
    <n v="1550.3040000000001"/>
    <x v="4"/>
    <x v="2"/>
    <n v="1"/>
    <s v="REG100476"/>
    <s v="Cust 2679"/>
    <n v="43.28"/>
    <d v="2025-03-17T00:00:00"/>
    <d v="2025-03-26T00:00:00"/>
    <x v="0"/>
  </r>
  <r>
    <x v="379"/>
    <x v="3"/>
    <x v="2"/>
    <n v="16"/>
    <n v="454.54"/>
    <x v="0"/>
    <x v="1"/>
    <x v="1"/>
    <x v="5"/>
    <n v="6545.3760000000002"/>
    <x v="0"/>
    <x v="0"/>
    <n v="0"/>
    <s v="REG100477"/>
    <s v="Cust 9907"/>
    <n v="20.55"/>
    <d v="2023-08-17T00:00:00"/>
    <d v="2023-08-19T00:00:00"/>
    <x v="3"/>
  </r>
  <r>
    <x v="286"/>
    <x v="3"/>
    <x v="4"/>
    <n v="11"/>
    <n v="414.58"/>
    <x v="3"/>
    <x v="0"/>
    <x v="3"/>
    <x v="4"/>
    <n v="4332.3609999999999"/>
    <x v="4"/>
    <x v="2"/>
    <n v="0"/>
    <s v="REG100478"/>
    <s v="Cust 5750"/>
    <n v="25.33"/>
    <d v="2023-08-30T00:00:00"/>
    <d v="2023-09-05T00:00:00"/>
    <x v="3"/>
  </r>
  <r>
    <x v="26"/>
    <x v="0"/>
    <x v="1"/>
    <n v="9"/>
    <n v="352.91"/>
    <x v="0"/>
    <x v="0"/>
    <x v="1"/>
    <x v="5"/>
    <n v="2858.5709999999999"/>
    <x v="4"/>
    <x v="0"/>
    <n v="0"/>
    <s v="REG100479"/>
    <s v="Cust 5717"/>
    <n v="30.57"/>
    <d v="2025-06-16T00:00:00"/>
    <d v="2025-06-18T00:00:00"/>
    <x v="0"/>
  </r>
  <r>
    <x v="380"/>
    <x v="2"/>
    <x v="3"/>
    <n v="10"/>
    <n v="126.46"/>
    <x v="1"/>
    <x v="1"/>
    <x v="1"/>
    <x v="0"/>
    <n v="1138.1400000000001"/>
    <x v="0"/>
    <x v="2"/>
    <n v="0"/>
    <s v="REG100480"/>
    <s v="Cust 7995"/>
    <n v="26.96"/>
    <d v="2023-06-29T00:00:00"/>
    <d v="2023-07-09T00:00:00"/>
    <x v="2"/>
  </r>
  <r>
    <x v="381"/>
    <x v="2"/>
    <x v="4"/>
    <n v="7"/>
    <n v="125.02"/>
    <x v="3"/>
    <x v="0"/>
    <x v="0"/>
    <x v="3"/>
    <n v="875.14"/>
    <x v="2"/>
    <x v="0"/>
    <n v="0"/>
    <s v="REG100481"/>
    <s v="Cust 5572"/>
    <n v="12.45"/>
    <d v="2023-08-13T00:00:00"/>
    <d v="2023-08-20T00:00:00"/>
    <x v="2"/>
  </r>
  <r>
    <x v="131"/>
    <x v="4"/>
    <x v="5"/>
    <n v="20"/>
    <n v="367.24"/>
    <x v="1"/>
    <x v="0"/>
    <x v="3"/>
    <x v="3"/>
    <n v="6977.5599999999986"/>
    <x v="1"/>
    <x v="0"/>
    <n v="0"/>
    <s v="REG100482"/>
    <s v="Cust 1721"/>
    <n v="45.67"/>
    <d v="2024-04-29T00:00:00"/>
    <d v="2024-05-07T00:00:00"/>
    <x v="4"/>
  </r>
  <r>
    <x v="382"/>
    <x v="4"/>
    <x v="4"/>
    <n v="8"/>
    <n v="432.12"/>
    <x v="0"/>
    <x v="1"/>
    <x v="0"/>
    <x v="4"/>
    <n v="3456.96"/>
    <x v="2"/>
    <x v="2"/>
    <n v="0"/>
    <s v="REG100483"/>
    <s v="Cust 2641"/>
    <n v="42.1"/>
    <d v="2023-07-15T00:00:00"/>
    <d v="2023-07-25T00:00:00"/>
    <x v="4"/>
  </r>
  <r>
    <x v="50"/>
    <x v="2"/>
    <x v="5"/>
    <n v="3"/>
    <n v="13.33"/>
    <x v="3"/>
    <x v="1"/>
    <x v="1"/>
    <x v="0"/>
    <n v="35.991"/>
    <x v="4"/>
    <x v="1"/>
    <n v="0"/>
    <s v="REG100484"/>
    <s v="Cust 9769"/>
    <n v="17.62"/>
    <d v="2025-01-17T00:00:00"/>
    <d v="2025-01-23T00:00:00"/>
    <x v="2"/>
  </r>
  <r>
    <x v="383"/>
    <x v="0"/>
    <x v="6"/>
    <n v="13"/>
    <n v="105.93"/>
    <x v="2"/>
    <x v="1"/>
    <x v="0"/>
    <x v="5"/>
    <n v="1377.09"/>
    <x v="3"/>
    <x v="0"/>
    <n v="0"/>
    <s v="REG100485"/>
    <s v="Cust 1718"/>
    <n v="38.96"/>
    <d v="2025-02-21T00:00:00"/>
    <d v="2025-03-03T00:00:00"/>
    <x v="0"/>
  </r>
  <r>
    <x v="384"/>
    <x v="4"/>
    <x v="4"/>
    <n v="20"/>
    <n v="526.54999999999995"/>
    <x v="1"/>
    <x v="0"/>
    <x v="0"/>
    <x v="1"/>
    <n v="10531"/>
    <x v="3"/>
    <x v="0"/>
    <n v="1"/>
    <s v="REG100486"/>
    <s v="Cust 1210"/>
    <n v="25.64"/>
    <d v="2023-07-19T00:00:00"/>
    <d v="2023-07-26T00:00:00"/>
    <x v="4"/>
  </r>
  <r>
    <x v="385"/>
    <x v="4"/>
    <x v="1"/>
    <n v="11"/>
    <n v="339.78"/>
    <x v="1"/>
    <x v="1"/>
    <x v="3"/>
    <x v="4"/>
    <n v="3550.701"/>
    <x v="3"/>
    <x v="2"/>
    <n v="1"/>
    <s v="REG100487"/>
    <s v="Cust 7710"/>
    <n v="11.56"/>
    <d v="2024-09-29T00:00:00"/>
    <d v="2024-10-06T00:00:00"/>
    <x v="4"/>
  </r>
  <r>
    <x v="386"/>
    <x v="0"/>
    <x v="0"/>
    <n v="10"/>
    <n v="91.75"/>
    <x v="3"/>
    <x v="0"/>
    <x v="2"/>
    <x v="2"/>
    <n v="779.875"/>
    <x v="4"/>
    <x v="2"/>
    <n v="0"/>
    <s v="REG100488"/>
    <s v="Cust 1428"/>
    <n v="37.270000000000003"/>
    <d v="2024-10-17T00:00:00"/>
    <d v="2024-10-21T00:00:00"/>
    <x v="0"/>
  </r>
  <r>
    <x v="54"/>
    <x v="0"/>
    <x v="1"/>
    <n v="15"/>
    <n v="13.66"/>
    <x v="0"/>
    <x v="1"/>
    <x v="1"/>
    <x v="1"/>
    <n v="184.41"/>
    <x v="3"/>
    <x v="0"/>
    <n v="0"/>
    <s v="REG100489"/>
    <s v="Cust 2810"/>
    <n v="38.04"/>
    <d v="2025-06-11T00:00:00"/>
    <d v="2025-06-17T00:00:00"/>
    <x v="0"/>
  </r>
  <r>
    <x v="387"/>
    <x v="4"/>
    <x v="2"/>
    <n v="6"/>
    <n v="148.22999999999999"/>
    <x v="0"/>
    <x v="1"/>
    <x v="1"/>
    <x v="0"/>
    <n v="800.44199999999989"/>
    <x v="2"/>
    <x v="0"/>
    <n v="0"/>
    <s v="REG100490"/>
    <s v="Cust 2234"/>
    <n v="19.579999999999998"/>
    <d v="2024-01-19T00:00:00"/>
    <d v="2024-01-29T00:00:00"/>
    <x v="4"/>
  </r>
  <r>
    <x v="388"/>
    <x v="0"/>
    <x v="3"/>
    <n v="11"/>
    <n v="495.03"/>
    <x v="3"/>
    <x v="0"/>
    <x v="2"/>
    <x v="2"/>
    <n v="4628.5304999999998"/>
    <x v="4"/>
    <x v="2"/>
    <n v="0"/>
    <s v="REG100491"/>
    <s v="Cust 9602"/>
    <n v="27.37"/>
    <d v="2023-12-03T00:00:00"/>
    <d v="2023-12-05T00:00:00"/>
    <x v="0"/>
  </r>
  <r>
    <x v="389"/>
    <x v="3"/>
    <x v="3"/>
    <n v="6"/>
    <n v="247.2"/>
    <x v="1"/>
    <x v="0"/>
    <x v="3"/>
    <x v="4"/>
    <n v="1409.04"/>
    <x v="2"/>
    <x v="0"/>
    <n v="0"/>
    <s v="REG100492"/>
    <s v="Cust 2546"/>
    <n v="18.75"/>
    <d v="2024-06-19T00:00:00"/>
    <d v="2024-06-27T00:00:00"/>
    <x v="3"/>
  </r>
  <r>
    <x v="8"/>
    <x v="4"/>
    <x v="5"/>
    <n v="19"/>
    <n v="207.45"/>
    <x v="2"/>
    <x v="1"/>
    <x v="3"/>
    <x v="5"/>
    <n v="3744.4724999999989"/>
    <x v="3"/>
    <x v="1"/>
    <n v="0"/>
    <s v="REG100493"/>
    <s v="Cust 5032"/>
    <n v="11.5"/>
    <d v="2024-10-16T00:00:00"/>
    <d v="2024-10-21T00:00:00"/>
    <x v="4"/>
  </r>
  <r>
    <x v="187"/>
    <x v="0"/>
    <x v="0"/>
    <n v="2"/>
    <n v="370.78"/>
    <x v="3"/>
    <x v="0"/>
    <x v="2"/>
    <x v="4"/>
    <n v="630.32599999999991"/>
    <x v="0"/>
    <x v="0"/>
    <n v="0"/>
    <s v="REG100494"/>
    <s v="Cust 4297"/>
    <n v="20.45"/>
    <d v="2025-01-23T00:00:00"/>
    <d v="2025-01-27T00:00:00"/>
    <x v="0"/>
  </r>
  <r>
    <x v="390"/>
    <x v="3"/>
    <x v="0"/>
    <n v="9"/>
    <n v="146.72"/>
    <x v="1"/>
    <x v="0"/>
    <x v="1"/>
    <x v="4"/>
    <n v="1188.432"/>
    <x v="2"/>
    <x v="3"/>
    <n v="0"/>
    <s v="REG100495"/>
    <s v="Cust 6944"/>
    <n v="10.45"/>
    <d v="2023-10-02T00:00:00"/>
    <d v="2023-10-10T00:00:00"/>
    <x v="3"/>
  </r>
  <r>
    <x v="321"/>
    <x v="0"/>
    <x v="2"/>
    <n v="12"/>
    <n v="159.85"/>
    <x v="3"/>
    <x v="1"/>
    <x v="1"/>
    <x v="1"/>
    <n v="1726.38"/>
    <x v="4"/>
    <x v="2"/>
    <n v="0"/>
    <s v="REG100496"/>
    <s v="Cust 4136"/>
    <n v="32.61"/>
    <d v="2023-11-05T00:00:00"/>
    <d v="2023-11-07T00:00:00"/>
    <x v="0"/>
  </r>
  <r>
    <x v="391"/>
    <x v="1"/>
    <x v="6"/>
    <n v="13"/>
    <n v="181.68"/>
    <x v="2"/>
    <x v="0"/>
    <x v="3"/>
    <x v="4"/>
    <n v="2243.748"/>
    <x v="1"/>
    <x v="1"/>
    <n v="0"/>
    <s v="REG100497"/>
    <s v="Cust 7460"/>
    <n v="14.69"/>
    <d v="2023-06-18T00:00:00"/>
    <d v="2023-06-23T00:00:00"/>
    <x v="1"/>
  </r>
  <r>
    <x v="236"/>
    <x v="3"/>
    <x v="1"/>
    <n v="16"/>
    <n v="34.159999999999997"/>
    <x v="1"/>
    <x v="1"/>
    <x v="2"/>
    <x v="5"/>
    <n v="464.57600000000002"/>
    <x v="4"/>
    <x v="1"/>
    <n v="0"/>
    <s v="REG100498"/>
    <s v="Cust 3960"/>
    <n v="36.33"/>
    <d v="2024-07-15T00:00:00"/>
    <d v="2024-07-21T00:00:00"/>
    <x v="3"/>
  </r>
  <r>
    <x v="392"/>
    <x v="3"/>
    <x v="0"/>
    <n v="2"/>
    <n v="287.43"/>
    <x v="2"/>
    <x v="0"/>
    <x v="1"/>
    <x v="4"/>
    <n v="517.37400000000002"/>
    <x v="4"/>
    <x v="2"/>
    <n v="0"/>
    <s v="REG100499"/>
    <s v="Cust 5530"/>
    <n v="25.34"/>
    <d v="2024-06-14T00:00:00"/>
    <d v="2024-06-23T00:00:00"/>
    <x v="3"/>
  </r>
  <r>
    <x v="393"/>
    <x v="0"/>
    <x v="4"/>
    <n v="15"/>
    <n v="405.95"/>
    <x v="3"/>
    <x v="0"/>
    <x v="2"/>
    <x v="0"/>
    <n v="5175.8625000000002"/>
    <x v="1"/>
    <x v="3"/>
    <n v="0"/>
    <s v="REG100500"/>
    <s v="Cust 3160"/>
    <n v="32.04"/>
    <d v="2024-04-05T00:00:00"/>
    <d v="2024-04-10T00:00:00"/>
    <x v="0"/>
  </r>
  <r>
    <x v="274"/>
    <x v="2"/>
    <x v="0"/>
    <n v="1"/>
    <n v="430.61"/>
    <x v="0"/>
    <x v="1"/>
    <x v="0"/>
    <x v="1"/>
    <n v="430.61"/>
    <x v="1"/>
    <x v="2"/>
    <n v="0"/>
    <s v="REG100501"/>
    <s v="Cust 9641"/>
    <n v="14.53"/>
    <d v="2023-02-27T00:00:00"/>
    <d v="2023-03-07T00:00:00"/>
    <x v="2"/>
  </r>
  <r>
    <x v="65"/>
    <x v="4"/>
    <x v="0"/>
    <n v="5"/>
    <n v="508.05"/>
    <x v="3"/>
    <x v="1"/>
    <x v="0"/>
    <x v="2"/>
    <n v="2540.25"/>
    <x v="2"/>
    <x v="2"/>
    <n v="1"/>
    <s v="REG100502"/>
    <s v="Cust 9742"/>
    <n v="35.630000000000003"/>
    <d v="2023-07-31T00:00:00"/>
    <d v="2023-08-09T00:00:00"/>
    <x v="4"/>
  </r>
  <r>
    <x v="21"/>
    <x v="4"/>
    <x v="0"/>
    <n v="13"/>
    <n v="522.97"/>
    <x v="2"/>
    <x v="1"/>
    <x v="2"/>
    <x v="3"/>
    <n v="5778.8185000000003"/>
    <x v="3"/>
    <x v="0"/>
    <n v="0"/>
    <s v="REG100503"/>
    <s v="Cust 1144"/>
    <n v="33.9"/>
    <d v="2023-03-03T00:00:00"/>
    <d v="2023-03-10T00:00:00"/>
    <x v="4"/>
  </r>
  <r>
    <x v="394"/>
    <x v="1"/>
    <x v="0"/>
    <n v="17"/>
    <n v="260.25"/>
    <x v="3"/>
    <x v="0"/>
    <x v="1"/>
    <x v="2"/>
    <n v="3981.8249999999998"/>
    <x v="2"/>
    <x v="1"/>
    <n v="0"/>
    <s v="REG100504"/>
    <s v="Cust 2936"/>
    <n v="23.26"/>
    <d v="2023-04-26T00:00:00"/>
    <d v="2023-04-28T00:00:00"/>
    <x v="1"/>
  </r>
  <r>
    <x v="272"/>
    <x v="0"/>
    <x v="1"/>
    <n v="6"/>
    <n v="549.21"/>
    <x v="0"/>
    <x v="1"/>
    <x v="1"/>
    <x v="0"/>
    <n v="2965.7339999999999"/>
    <x v="2"/>
    <x v="2"/>
    <n v="1"/>
    <s v="REG100505"/>
    <s v="Cust 3035"/>
    <n v="12.29"/>
    <d v="2024-10-19T00:00:00"/>
    <d v="2024-10-27T00:00:00"/>
    <x v="0"/>
  </r>
  <r>
    <x v="261"/>
    <x v="3"/>
    <x v="6"/>
    <n v="17"/>
    <n v="472.33"/>
    <x v="2"/>
    <x v="1"/>
    <x v="2"/>
    <x v="3"/>
    <n v="6825.1684999999998"/>
    <x v="3"/>
    <x v="2"/>
    <n v="0"/>
    <s v="REG100506"/>
    <s v="Cust 1717"/>
    <n v="22.63"/>
    <d v="2024-06-30T00:00:00"/>
    <d v="2024-07-04T00:00:00"/>
    <x v="3"/>
  </r>
  <r>
    <x v="395"/>
    <x v="4"/>
    <x v="0"/>
    <n v="9"/>
    <n v="596.83000000000004"/>
    <x v="1"/>
    <x v="1"/>
    <x v="0"/>
    <x v="0"/>
    <n v="5371.47"/>
    <x v="4"/>
    <x v="2"/>
    <n v="0"/>
    <s v="REG100507"/>
    <s v="Cust 4456"/>
    <n v="6.43"/>
    <d v="2024-10-11T00:00:00"/>
    <d v="2024-10-19T00:00:00"/>
    <x v="4"/>
  </r>
  <r>
    <x v="396"/>
    <x v="3"/>
    <x v="4"/>
    <n v="15"/>
    <n v="154.04"/>
    <x v="3"/>
    <x v="1"/>
    <x v="1"/>
    <x v="1"/>
    <n v="2079.54"/>
    <x v="4"/>
    <x v="0"/>
    <n v="1"/>
    <s v="REG100508"/>
    <s v="Cust 6435"/>
    <n v="24.53"/>
    <d v="2025-06-14T00:00:00"/>
    <d v="2025-06-23T00:00:00"/>
    <x v="3"/>
  </r>
  <r>
    <x v="397"/>
    <x v="0"/>
    <x v="0"/>
    <n v="18"/>
    <n v="500.44"/>
    <x v="3"/>
    <x v="0"/>
    <x v="1"/>
    <x v="5"/>
    <n v="8107.1280000000006"/>
    <x v="2"/>
    <x v="3"/>
    <n v="0"/>
    <s v="REG100509"/>
    <s v="Cust 9352"/>
    <n v="8.8699999999999992"/>
    <d v="2024-12-22T00:00:00"/>
    <d v="2024-12-30T00:00:00"/>
    <x v="0"/>
  </r>
  <r>
    <x v="398"/>
    <x v="4"/>
    <x v="5"/>
    <n v="5"/>
    <n v="382.17"/>
    <x v="2"/>
    <x v="0"/>
    <x v="0"/>
    <x v="4"/>
    <n v="1910.85"/>
    <x v="2"/>
    <x v="0"/>
    <n v="0"/>
    <s v="REG100510"/>
    <s v="Cust 6746"/>
    <n v="17.72"/>
    <d v="2024-04-22T00:00:00"/>
    <d v="2024-04-25T00:00:00"/>
    <x v="4"/>
  </r>
  <r>
    <x v="59"/>
    <x v="2"/>
    <x v="3"/>
    <n v="3"/>
    <n v="365.54"/>
    <x v="0"/>
    <x v="1"/>
    <x v="2"/>
    <x v="2"/>
    <n v="932.12700000000007"/>
    <x v="0"/>
    <x v="3"/>
    <n v="0"/>
    <s v="REG100511"/>
    <s v="Cust 8189"/>
    <n v="45.89"/>
    <d v="2025-01-25T00:00:00"/>
    <d v="2025-01-29T00:00:00"/>
    <x v="2"/>
  </r>
  <r>
    <x v="371"/>
    <x v="2"/>
    <x v="0"/>
    <n v="5"/>
    <n v="270.13"/>
    <x v="2"/>
    <x v="1"/>
    <x v="2"/>
    <x v="0"/>
    <n v="1148.0525"/>
    <x v="2"/>
    <x v="3"/>
    <n v="0"/>
    <s v="REG100512"/>
    <s v="Cust 8470"/>
    <n v="15.74"/>
    <d v="2024-11-13T00:00:00"/>
    <d v="2024-11-19T00:00:00"/>
    <x v="2"/>
  </r>
  <r>
    <x v="399"/>
    <x v="0"/>
    <x v="5"/>
    <n v="2"/>
    <n v="480.15"/>
    <x v="3"/>
    <x v="1"/>
    <x v="2"/>
    <x v="4"/>
    <n v="816.255"/>
    <x v="0"/>
    <x v="3"/>
    <n v="0"/>
    <s v="REG100513"/>
    <s v="Cust 1044"/>
    <n v="42.07"/>
    <d v="2023-03-16T00:00:00"/>
    <d v="2023-03-21T00:00:00"/>
    <x v="0"/>
  </r>
  <r>
    <x v="400"/>
    <x v="2"/>
    <x v="0"/>
    <n v="18"/>
    <n v="414.77"/>
    <x v="2"/>
    <x v="0"/>
    <x v="1"/>
    <x v="0"/>
    <n v="6719.2739999999994"/>
    <x v="2"/>
    <x v="3"/>
    <n v="1"/>
    <s v="REG100514"/>
    <s v="Cust 4010"/>
    <n v="28.55"/>
    <d v="2023-05-06T00:00:00"/>
    <d v="2023-05-15T00:00:00"/>
    <x v="2"/>
  </r>
  <r>
    <x v="67"/>
    <x v="0"/>
    <x v="4"/>
    <n v="10"/>
    <n v="98.24"/>
    <x v="2"/>
    <x v="0"/>
    <x v="0"/>
    <x v="2"/>
    <n v="982.4"/>
    <x v="2"/>
    <x v="0"/>
    <n v="1"/>
    <s v="REG100515"/>
    <s v="Cust 1385"/>
    <n v="21.01"/>
    <d v="2024-11-15T00:00:00"/>
    <d v="2024-11-17T00:00:00"/>
    <x v="0"/>
  </r>
  <r>
    <x v="163"/>
    <x v="3"/>
    <x v="0"/>
    <n v="6"/>
    <n v="227.6"/>
    <x v="3"/>
    <x v="1"/>
    <x v="3"/>
    <x v="3"/>
    <n v="1297.32"/>
    <x v="3"/>
    <x v="0"/>
    <n v="0"/>
    <s v="REG100516"/>
    <s v="Cust 1904"/>
    <n v="38.22"/>
    <d v="2024-06-28T00:00:00"/>
    <d v="2024-07-05T00:00:00"/>
    <x v="3"/>
  </r>
  <r>
    <x v="15"/>
    <x v="3"/>
    <x v="4"/>
    <n v="5"/>
    <n v="136.13"/>
    <x v="2"/>
    <x v="1"/>
    <x v="2"/>
    <x v="3"/>
    <n v="578.55250000000001"/>
    <x v="0"/>
    <x v="3"/>
    <n v="0"/>
    <s v="REG100517"/>
    <s v="Cust 6034"/>
    <n v="10.02"/>
    <d v="2025-05-11T00:00:00"/>
    <d v="2025-05-20T00:00:00"/>
    <x v="3"/>
  </r>
  <r>
    <x v="16"/>
    <x v="3"/>
    <x v="5"/>
    <n v="5"/>
    <n v="489.13"/>
    <x v="2"/>
    <x v="1"/>
    <x v="1"/>
    <x v="4"/>
    <n v="2201.085"/>
    <x v="1"/>
    <x v="0"/>
    <n v="0"/>
    <s v="REG100518"/>
    <s v="Cust 9239"/>
    <n v="44.73"/>
    <d v="2023-02-26T00:00:00"/>
    <d v="2023-03-04T00:00:00"/>
    <x v="3"/>
  </r>
  <r>
    <x v="401"/>
    <x v="1"/>
    <x v="0"/>
    <n v="4"/>
    <n v="414.36"/>
    <x v="1"/>
    <x v="1"/>
    <x v="0"/>
    <x v="5"/>
    <n v="1657.44"/>
    <x v="3"/>
    <x v="0"/>
    <n v="0"/>
    <s v="REG100519"/>
    <s v="Cust 5678"/>
    <n v="8.02"/>
    <d v="2024-04-30T00:00:00"/>
    <d v="2024-05-07T00:00:00"/>
    <x v="1"/>
  </r>
  <r>
    <x v="402"/>
    <x v="0"/>
    <x v="0"/>
    <n v="6"/>
    <n v="138.26"/>
    <x v="0"/>
    <x v="1"/>
    <x v="2"/>
    <x v="0"/>
    <n v="705.12599999999998"/>
    <x v="0"/>
    <x v="3"/>
    <n v="1"/>
    <s v="REG100520"/>
    <s v="Cust 3696"/>
    <n v="31.4"/>
    <d v="2025-03-11T00:00:00"/>
    <d v="2025-03-13T00:00:00"/>
    <x v="0"/>
  </r>
  <r>
    <x v="148"/>
    <x v="0"/>
    <x v="1"/>
    <n v="12"/>
    <n v="487.57"/>
    <x v="1"/>
    <x v="0"/>
    <x v="3"/>
    <x v="0"/>
    <n v="5558.2979999999998"/>
    <x v="4"/>
    <x v="3"/>
    <n v="0"/>
    <s v="REG100521"/>
    <s v="Cust 9025"/>
    <n v="37.33"/>
    <d v="2025-06-30T00:00:00"/>
    <d v="2025-07-10T00:00:00"/>
    <x v="0"/>
  </r>
  <r>
    <x v="403"/>
    <x v="2"/>
    <x v="3"/>
    <n v="20"/>
    <n v="427.3"/>
    <x v="2"/>
    <x v="0"/>
    <x v="3"/>
    <x v="2"/>
    <n v="8118.7"/>
    <x v="1"/>
    <x v="0"/>
    <n v="1"/>
    <s v="REG100522"/>
    <s v="Cust 9924"/>
    <n v="25.19"/>
    <d v="2024-06-02T00:00:00"/>
    <d v="2024-06-08T00:00:00"/>
    <x v="2"/>
  </r>
  <r>
    <x v="404"/>
    <x v="1"/>
    <x v="0"/>
    <n v="16"/>
    <n v="588.91999999999996"/>
    <x v="3"/>
    <x v="0"/>
    <x v="2"/>
    <x v="1"/>
    <n v="8009.311999999999"/>
    <x v="4"/>
    <x v="0"/>
    <n v="0"/>
    <s v="REG100523"/>
    <s v="Cust 3887"/>
    <n v="7.89"/>
    <d v="2024-09-01T00:00:00"/>
    <d v="2024-09-05T00:00:00"/>
    <x v="1"/>
  </r>
  <r>
    <x v="405"/>
    <x v="1"/>
    <x v="0"/>
    <n v="6"/>
    <n v="429.45"/>
    <x v="0"/>
    <x v="1"/>
    <x v="1"/>
    <x v="1"/>
    <n v="2319.0300000000002"/>
    <x v="4"/>
    <x v="3"/>
    <n v="0"/>
    <s v="REG100524"/>
    <s v="Cust 5302"/>
    <n v="47.18"/>
    <d v="2025-01-11T00:00:00"/>
    <d v="2025-01-18T00:00:00"/>
    <x v="1"/>
  </r>
  <r>
    <x v="314"/>
    <x v="1"/>
    <x v="1"/>
    <n v="1"/>
    <n v="476"/>
    <x v="1"/>
    <x v="0"/>
    <x v="2"/>
    <x v="3"/>
    <n v="404.6"/>
    <x v="4"/>
    <x v="0"/>
    <n v="0"/>
    <s v="REG100525"/>
    <s v="Cust 2290"/>
    <n v="18.95"/>
    <d v="2025-03-31T00:00:00"/>
    <d v="2025-04-03T00:00:00"/>
    <x v="1"/>
  </r>
  <r>
    <x v="406"/>
    <x v="1"/>
    <x v="1"/>
    <n v="13"/>
    <n v="141.26"/>
    <x v="0"/>
    <x v="1"/>
    <x v="0"/>
    <x v="2"/>
    <n v="1836.38"/>
    <x v="0"/>
    <x v="3"/>
    <n v="0"/>
    <s v="REG100526"/>
    <s v="Cust 2227"/>
    <n v="23.68"/>
    <d v="2024-11-28T00:00:00"/>
    <d v="2024-12-05T00:00:00"/>
    <x v="1"/>
  </r>
  <r>
    <x v="407"/>
    <x v="2"/>
    <x v="3"/>
    <n v="3"/>
    <n v="250.65"/>
    <x v="3"/>
    <x v="1"/>
    <x v="2"/>
    <x v="0"/>
    <n v="639.15750000000003"/>
    <x v="2"/>
    <x v="1"/>
    <n v="0"/>
    <s v="REG100527"/>
    <s v="Cust 1726"/>
    <n v="44.46"/>
    <d v="2023-07-05T00:00:00"/>
    <d v="2023-07-07T00:00:00"/>
    <x v="2"/>
  </r>
  <r>
    <x v="408"/>
    <x v="4"/>
    <x v="4"/>
    <n v="19"/>
    <n v="301.17"/>
    <x v="3"/>
    <x v="1"/>
    <x v="3"/>
    <x v="1"/>
    <n v="5436.1184999999996"/>
    <x v="3"/>
    <x v="2"/>
    <n v="0"/>
    <s v="REG100528"/>
    <s v="Cust 9874"/>
    <n v="5.71"/>
    <d v="2024-10-24T00:00:00"/>
    <d v="2024-11-03T00:00:00"/>
    <x v="4"/>
  </r>
  <r>
    <x v="409"/>
    <x v="2"/>
    <x v="3"/>
    <n v="7"/>
    <n v="30.79"/>
    <x v="2"/>
    <x v="1"/>
    <x v="1"/>
    <x v="5"/>
    <n v="193.977"/>
    <x v="4"/>
    <x v="2"/>
    <n v="1"/>
    <s v="REG100529"/>
    <s v="Cust 1774"/>
    <n v="11.39"/>
    <d v="2025-04-08T00:00:00"/>
    <d v="2025-04-16T00:00:00"/>
    <x v="2"/>
  </r>
  <r>
    <x v="410"/>
    <x v="0"/>
    <x v="0"/>
    <n v="1"/>
    <n v="561.6"/>
    <x v="1"/>
    <x v="0"/>
    <x v="2"/>
    <x v="1"/>
    <n v="477.36"/>
    <x v="3"/>
    <x v="1"/>
    <n v="0"/>
    <s v="REG100530"/>
    <s v="Cust 2414"/>
    <n v="38.020000000000003"/>
    <d v="2024-06-05T00:00:00"/>
    <d v="2024-06-10T00:00:00"/>
    <x v="0"/>
  </r>
  <r>
    <x v="187"/>
    <x v="4"/>
    <x v="1"/>
    <n v="16"/>
    <n v="193.7"/>
    <x v="1"/>
    <x v="1"/>
    <x v="2"/>
    <x v="5"/>
    <n v="2634.32"/>
    <x v="2"/>
    <x v="1"/>
    <n v="0"/>
    <s v="REG100531"/>
    <s v="Cust 6534"/>
    <n v="6.83"/>
    <d v="2025-01-23T00:00:00"/>
    <d v="2025-01-29T00:00:00"/>
    <x v="4"/>
  </r>
  <r>
    <x v="208"/>
    <x v="3"/>
    <x v="5"/>
    <n v="17"/>
    <n v="310.02999999999997"/>
    <x v="3"/>
    <x v="1"/>
    <x v="3"/>
    <x v="3"/>
    <n v="5006.9844999999987"/>
    <x v="0"/>
    <x v="0"/>
    <n v="0"/>
    <s v="REG100532"/>
    <s v="Cust 3170"/>
    <n v="8.06"/>
    <d v="2024-11-04T00:00:00"/>
    <d v="2024-11-12T00:00:00"/>
    <x v="3"/>
  </r>
  <r>
    <x v="223"/>
    <x v="4"/>
    <x v="6"/>
    <n v="13"/>
    <n v="204.67"/>
    <x v="1"/>
    <x v="1"/>
    <x v="2"/>
    <x v="1"/>
    <n v="2261.6035000000002"/>
    <x v="0"/>
    <x v="3"/>
    <n v="0"/>
    <s v="REG100533"/>
    <s v="Cust 5438"/>
    <n v="6.76"/>
    <d v="2024-01-01T00:00:00"/>
    <d v="2024-01-05T00:00:00"/>
    <x v="4"/>
  </r>
  <r>
    <x v="173"/>
    <x v="3"/>
    <x v="6"/>
    <n v="3"/>
    <n v="250.11"/>
    <x v="3"/>
    <x v="0"/>
    <x v="0"/>
    <x v="1"/>
    <n v="750.33"/>
    <x v="1"/>
    <x v="0"/>
    <n v="0"/>
    <s v="REG100534"/>
    <s v="Cust 2670"/>
    <n v="36.35"/>
    <d v="2024-04-09T00:00:00"/>
    <d v="2024-04-17T00:00:00"/>
    <x v="3"/>
  </r>
  <r>
    <x v="50"/>
    <x v="2"/>
    <x v="2"/>
    <n v="12"/>
    <n v="526.82000000000005"/>
    <x v="1"/>
    <x v="1"/>
    <x v="0"/>
    <x v="2"/>
    <n v="6321.84"/>
    <x v="2"/>
    <x v="2"/>
    <n v="0"/>
    <s v="REG100535"/>
    <s v="Cust 8949"/>
    <n v="29.75"/>
    <d v="2025-01-17T00:00:00"/>
    <d v="2025-01-25T00:00:00"/>
    <x v="2"/>
  </r>
  <r>
    <x v="309"/>
    <x v="0"/>
    <x v="3"/>
    <n v="18"/>
    <n v="575.1"/>
    <x v="3"/>
    <x v="0"/>
    <x v="0"/>
    <x v="5"/>
    <n v="10351.799999999999"/>
    <x v="0"/>
    <x v="0"/>
    <n v="0"/>
    <s v="REG100536"/>
    <s v="Cust 9748"/>
    <n v="35.32"/>
    <d v="2024-09-22T00:00:00"/>
    <d v="2024-09-29T00:00:00"/>
    <x v="0"/>
  </r>
  <r>
    <x v="411"/>
    <x v="0"/>
    <x v="4"/>
    <n v="8"/>
    <n v="325.52"/>
    <x v="2"/>
    <x v="1"/>
    <x v="1"/>
    <x v="2"/>
    <n v="2343.7440000000001"/>
    <x v="3"/>
    <x v="2"/>
    <n v="0"/>
    <s v="REG100537"/>
    <s v="Cust 1220"/>
    <n v="45.59"/>
    <d v="2023-01-20T00:00:00"/>
    <d v="2023-01-25T00:00:00"/>
    <x v="0"/>
  </r>
  <r>
    <x v="412"/>
    <x v="2"/>
    <x v="4"/>
    <n v="14"/>
    <n v="157.13999999999999"/>
    <x v="1"/>
    <x v="0"/>
    <x v="2"/>
    <x v="4"/>
    <n v="1869.9659999999999"/>
    <x v="1"/>
    <x v="1"/>
    <n v="0"/>
    <s v="REG100538"/>
    <s v="Cust 5645"/>
    <n v="36.04"/>
    <d v="2024-01-12T00:00:00"/>
    <d v="2024-01-22T00:00:00"/>
    <x v="2"/>
  </r>
  <r>
    <x v="413"/>
    <x v="3"/>
    <x v="0"/>
    <n v="10"/>
    <n v="100.26"/>
    <x v="3"/>
    <x v="0"/>
    <x v="3"/>
    <x v="3"/>
    <n v="952.47"/>
    <x v="1"/>
    <x v="1"/>
    <n v="0"/>
    <s v="REG100539"/>
    <s v="Cust 6577"/>
    <n v="36.71"/>
    <d v="2024-04-08T00:00:00"/>
    <d v="2024-04-15T00:00:00"/>
    <x v="3"/>
  </r>
  <r>
    <x v="178"/>
    <x v="3"/>
    <x v="0"/>
    <n v="9"/>
    <n v="554.48"/>
    <x v="2"/>
    <x v="0"/>
    <x v="0"/>
    <x v="3"/>
    <n v="4990.32"/>
    <x v="0"/>
    <x v="3"/>
    <n v="0"/>
    <s v="REG100540"/>
    <s v="Cust 9506"/>
    <n v="48.26"/>
    <d v="2023-04-27T00:00:00"/>
    <d v="2023-05-01T00:00:00"/>
    <x v="3"/>
  </r>
  <r>
    <x v="414"/>
    <x v="2"/>
    <x v="1"/>
    <n v="4"/>
    <n v="375.96"/>
    <x v="2"/>
    <x v="1"/>
    <x v="2"/>
    <x v="3"/>
    <n v="1278.2639999999999"/>
    <x v="3"/>
    <x v="3"/>
    <n v="0"/>
    <s v="REG100541"/>
    <s v="Cust 9302"/>
    <n v="44.99"/>
    <d v="2024-07-17T00:00:00"/>
    <d v="2024-07-25T00:00:00"/>
    <x v="2"/>
  </r>
  <r>
    <x v="415"/>
    <x v="3"/>
    <x v="4"/>
    <n v="14"/>
    <n v="485.21"/>
    <x v="1"/>
    <x v="1"/>
    <x v="0"/>
    <x v="2"/>
    <n v="6792.94"/>
    <x v="0"/>
    <x v="0"/>
    <n v="0"/>
    <s v="REG100542"/>
    <s v="Cust 3030"/>
    <n v="41.72"/>
    <d v="2024-02-17T00:00:00"/>
    <d v="2024-02-23T00:00:00"/>
    <x v="3"/>
  </r>
  <r>
    <x v="109"/>
    <x v="1"/>
    <x v="4"/>
    <n v="9"/>
    <n v="372.44"/>
    <x v="1"/>
    <x v="0"/>
    <x v="3"/>
    <x v="4"/>
    <n v="3184.3620000000001"/>
    <x v="1"/>
    <x v="0"/>
    <n v="0"/>
    <s v="REG100543"/>
    <s v="Cust 5896"/>
    <n v="41.87"/>
    <d v="2024-01-25T00:00:00"/>
    <d v="2024-02-02T00:00:00"/>
    <x v="1"/>
  </r>
  <r>
    <x v="214"/>
    <x v="3"/>
    <x v="0"/>
    <n v="7"/>
    <n v="140.53"/>
    <x v="3"/>
    <x v="1"/>
    <x v="0"/>
    <x v="2"/>
    <n v="983.71"/>
    <x v="3"/>
    <x v="3"/>
    <n v="1"/>
    <s v="REG100544"/>
    <s v="Cust 3763"/>
    <n v="24.53"/>
    <d v="2024-03-24T00:00:00"/>
    <d v="2024-04-02T00:00:00"/>
    <x v="3"/>
  </r>
  <r>
    <x v="416"/>
    <x v="2"/>
    <x v="2"/>
    <n v="15"/>
    <n v="365.61"/>
    <x v="3"/>
    <x v="1"/>
    <x v="2"/>
    <x v="5"/>
    <n v="4661.5275000000001"/>
    <x v="4"/>
    <x v="0"/>
    <n v="0"/>
    <s v="REG100545"/>
    <s v="Cust 9510"/>
    <n v="35.840000000000003"/>
    <d v="2023-06-25T00:00:00"/>
    <d v="2023-06-27T00:00:00"/>
    <x v="2"/>
  </r>
  <r>
    <x v="417"/>
    <x v="1"/>
    <x v="0"/>
    <n v="20"/>
    <n v="353.97"/>
    <x v="0"/>
    <x v="0"/>
    <x v="2"/>
    <x v="2"/>
    <n v="6017.4900000000007"/>
    <x v="4"/>
    <x v="2"/>
    <n v="1"/>
    <s v="REG100546"/>
    <s v="Cust 7637"/>
    <n v="22.05"/>
    <d v="2023-04-17T00:00:00"/>
    <d v="2023-04-20T00:00:00"/>
    <x v="1"/>
  </r>
  <r>
    <x v="418"/>
    <x v="0"/>
    <x v="3"/>
    <n v="14"/>
    <n v="293.31"/>
    <x v="3"/>
    <x v="0"/>
    <x v="0"/>
    <x v="1"/>
    <n v="4106.34"/>
    <x v="1"/>
    <x v="3"/>
    <n v="0"/>
    <s v="REG100547"/>
    <s v="Cust 8382"/>
    <n v="21.61"/>
    <d v="2023-06-28T00:00:00"/>
    <d v="2023-06-30T00:00:00"/>
    <x v="0"/>
  </r>
  <r>
    <x v="419"/>
    <x v="3"/>
    <x v="3"/>
    <n v="10"/>
    <n v="397.39"/>
    <x v="3"/>
    <x v="1"/>
    <x v="2"/>
    <x v="1"/>
    <n v="3377.8150000000001"/>
    <x v="1"/>
    <x v="3"/>
    <n v="0"/>
    <s v="REG100548"/>
    <s v="Cust 4015"/>
    <n v="25.27"/>
    <d v="2024-04-06T00:00:00"/>
    <d v="2024-04-16T00:00:00"/>
    <x v="3"/>
  </r>
  <r>
    <x v="130"/>
    <x v="1"/>
    <x v="3"/>
    <n v="2"/>
    <n v="98.35"/>
    <x v="2"/>
    <x v="1"/>
    <x v="0"/>
    <x v="0"/>
    <n v="196.7"/>
    <x v="3"/>
    <x v="0"/>
    <n v="0"/>
    <s v="REG100549"/>
    <s v="Cust 5172"/>
    <n v="28.65"/>
    <d v="2025-02-17T00:00:00"/>
    <d v="2025-02-19T00:00:00"/>
    <x v="1"/>
  </r>
  <r>
    <x v="420"/>
    <x v="1"/>
    <x v="2"/>
    <n v="6"/>
    <n v="581.66999999999996"/>
    <x v="1"/>
    <x v="0"/>
    <x v="0"/>
    <x v="2"/>
    <n v="3490.02"/>
    <x v="3"/>
    <x v="3"/>
    <n v="0"/>
    <s v="REG100550"/>
    <s v="Cust 7584"/>
    <n v="39.4"/>
    <d v="2023-01-08T00:00:00"/>
    <d v="2023-01-11T00:00:00"/>
    <x v="1"/>
  </r>
  <r>
    <x v="146"/>
    <x v="1"/>
    <x v="1"/>
    <n v="19"/>
    <n v="30.41"/>
    <x v="3"/>
    <x v="1"/>
    <x v="3"/>
    <x v="2"/>
    <n v="548.90049999999997"/>
    <x v="3"/>
    <x v="0"/>
    <n v="0"/>
    <s v="REG100551"/>
    <s v="Cust 6809"/>
    <n v="48.33"/>
    <d v="2023-12-21T00:00:00"/>
    <d v="2023-12-31T00:00:00"/>
    <x v="1"/>
  </r>
  <r>
    <x v="421"/>
    <x v="2"/>
    <x v="4"/>
    <n v="15"/>
    <n v="368.79"/>
    <x v="2"/>
    <x v="0"/>
    <x v="1"/>
    <x v="5"/>
    <n v="4978.6650000000009"/>
    <x v="1"/>
    <x v="2"/>
    <n v="0"/>
    <s v="REG100552"/>
    <s v="Cust 7540"/>
    <n v="16.899999999999999"/>
    <d v="2024-07-13T00:00:00"/>
    <d v="2024-07-15T00:00:00"/>
    <x v="2"/>
  </r>
  <r>
    <x v="105"/>
    <x v="4"/>
    <x v="4"/>
    <n v="4"/>
    <n v="56.06"/>
    <x v="3"/>
    <x v="1"/>
    <x v="2"/>
    <x v="3"/>
    <n v="190.60400000000001"/>
    <x v="4"/>
    <x v="1"/>
    <n v="0"/>
    <s v="REG100553"/>
    <s v="Cust 6888"/>
    <n v="10.77"/>
    <d v="2024-03-23T00:00:00"/>
    <d v="2024-04-01T00:00:00"/>
    <x v="4"/>
  </r>
  <r>
    <x v="422"/>
    <x v="4"/>
    <x v="3"/>
    <n v="7"/>
    <n v="15.65"/>
    <x v="3"/>
    <x v="0"/>
    <x v="0"/>
    <x v="3"/>
    <n v="109.55"/>
    <x v="3"/>
    <x v="3"/>
    <n v="0"/>
    <s v="REG100554"/>
    <s v="Cust 3304"/>
    <n v="13.28"/>
    <d v="2024-03-19T00:00:00"/>
    <d v="2024-03-25T00:00:00"/>
    <x v="4"/>
  </r>
  <r>
    <x v="355"/>
    <x v="3"/>
    <x v="5"/>
    <n v="9"/>
    <n v="380.85"/>
    <x v="0"/>
    <x v="0"/>
    <x v="0"/>
    <x v="3"/>
    <n v="3427.65"/>
    <x v="4"/>
    <x v="0"/>
    <n v="0"/>
    <s v="REG100555"/>
    <s v="Cust 4196"/>
    <n v="33.4"/>
    <d v="2025-05-20T00:00:00"/>
    <d v="2025-05-29T00:00:00"/>
    <x v="3"/>
  </r>
  <r>
    <x v="423"/>
    <x v="1"/>
    <x v="3"/>
    <n v="11"/>
    <n v="587.21"/>
    <x v="2"/>
    <x v="0"/>
    <x v="0"/>
    <x v="3"/>
    <n v="6459.31"/>
    <x v="3"/>
    <x v="2"/>
    <n v="0"/>
    <s v="REG100556"/>
    <s v="Cust 6596"/>
    <n v="34.32"/>
    <d v="2025-01-19T00:00:00"/>
    <d v="2025-01-26T00:00:00"/>
    <x v="1"/>
  </r>
  <r>
    <x v="424"/>
    <x v="1"/>
    <x v="6"/>
    <n v="17"/>
    <n v="554.25"/>
    <x v="1"/>
    <x v="0"/>
    <x v="1"/>
    <x v="4"/>
    <n v="8480.0249999999996"/>
    <x v="3"/>
    <x v="3"/>
    <n v="0"/>
    <s v="REG100557"/>
    <s v="Cust 5588"/>
    <n v="8.66"/>
    <d v="2023-05-28T00:00:00"/>
    <d v="2023-06-01T00:00:00"/>
    <x v="1"/>
  </r>
  <r>
    <x v="301"/>
    <x v="0"/>
    <x v="6"/>
    <n v="3"/>
    <n v="410.23"/>
    <x v="1"/>
    <x v="0"/>
    <x v="2"/>
    <x v="4"/>
    <n v="1046.0864999999999"/>
    <x v="2"/>
    <x v="0"/>
    <n v="0"/>
    <s v="REG100558"/>
    <s v="Cust 1518"/>
    <n v="6.04"/>
    <d v="2023-10-28T00:00:00"/>
    <d v="2023-11-03T00:00:00"/>
    <x v="0"/>
  </r>
  <r>
    <x v="425"/>
    <x v="4"/>
    <x v="4"/>
    <n v="5"/>
    <n v="99.23"/>
    <x v="0"/>
    <x v="1"/>
    <x v="0"/>
    <x v="0"/>
    <n v="496.15"/>
    <x v="3"/>
    <x v="3"/>
    <n v="0"/>
    <s v="REG100559"/>
    <s v="Cust 2819"/>
    <n v="37.659999999999997"/>
    <d v="2023-11-25T00:00:00"/>
    <d v="2023-12-02T00:00:00"/>
    <x v="4"/>
  </r>
  <r>
    <x v="426"/>
    <x v="1"/>
    <x v="4"/>
    <n v="9"/>
    <n v="503.18"/>
    <x v="0"/>
    <x v="0"/>
    <x v="0"/>
    <x v="4"/>
    <n v="4528.62"/>
    <x v="1"/>
    <x v="1"/>
    <n v="1"/>
    <s v="REG100560"/>
    <s v="Cust 1947"/>
    <n v="46.02"/>
    <d v="2024-11-17T00:00:00"/>
    <d v="2024-11-24T00:00:00"/>
    <x v="1"/>
  </r>
  <r>
    <x v="113"/>
    <x v="3"/>
    <x v="4"/>
    <n v="17"/>
    <n v="155.31"/>
    <x v="2"/>
    <x v="1"/>
    <x v="2"/>
    <x v="5"/>
    <n v="2244.2294999999999"/>
    <x v="2"/>
    <x v="2"/>
    <n v="0"/>
    <s v="REG100561"/>
    <s v="Cust 7332"/>
    <n v="27.1"/>
    <d v="2024-01-24T00:00:00"/>
    <d v="2024-01-29T00:00:00"/>
    <x v="3"/>
  </r>
  <r>
    <x v="182"/>
    <x v="2"/>
    <x v="3"/>
    <n v="7"/>
    <n v="303.79000000000002"/>
    <x v="3"/>
    <x v="0"/>
    <x v="2"/>
    <x v="2"/>
    <n v="1807.5505000000001"/>
    <x v="2"/>
    <x v="1"/>
    <n v="0"/>
    <s v="REG100562"/>
    <s v="Cust 7314"/>
    <n v="38.85"/>
    <d v="2023-06-19T00:00:00"/>
    <d v="2023-06-29T00:00:00"/>
    <x v="2"/>
  </r>
  <r>
    <x v="427"/>
    <x v="0"/>
    <x v="1"/>
    <n v="17"/>
    <n v="263.75"/>
    <x v="0"/>
    <x v="1"/>
    <x v="0"/>
    <x v="1"/>
    <n v="4483.75"/>
    <x v="0"/>
    <x v="3"/>
    <n v="1"/>
    <s v="REG100563"/>
    <s v="Cust 5296"/>
    <n v="12.97"/>
    <d v="2025-01-13T00:00:00"/>
    <d v="2025-01-18T00:00:00"/>
    <x v="0"/>
  </r>
  <r>
    <x v="113"/>
    <x v="0"/>
    <x v="1"/>
    <n v="4"/>
    <n v="179.92"/>
    <x v="3"/>
    <x v="1"/>
    <x v="1"/>
    <x v="4"/>
    <n v="647.71199999999999"/>
    <x v="0"/>
    <x v="2"/>
    <n v="0"/>
    <s v="REG100564"/>
    <s v="Cust 2964"/>
    <n v="35.26"/>
    <d v="2024-01-24T00:00:00"/>
    <d v="2024-02-01T00:00:00"/>
    <x v="0"/>
  </r>
  <r>
    <x v="428"/>
    <x v="1"/>
    <x v="6"/>
    <n v="2"/>
    <n v="264"/>
    <x v="3"/>
    <x v="1"/>
    <x v="0"/>
    <x v="5"/>
    <n v="528"/>
    <x v="1"/>
    <x v="1"/>
    <n v="0"/>
    <s v="REG100565"/>
    <s v="Cust 5381"/>
    <n v="26.73"/>
    <d v="2025-01-06T00:00:00"/>
    <d v="2025-01-14T00:00:00"/>
    <x v="1"/>
  </r>
  <r>
    <x v="368"/>
    <x v="3"/>
    <x v="0"/>
    <n v="4"/>
    <n v="403.97"/>
    <x v="1"/>
    <x v="0"/>
    <x v="3"/>
    <x v="1"/>
    <n v="1535.086"/>
    <x v="4"/>
    <x v="2"/>
    <n v="0"/>
    <s v="REG100566"/>
    <s v="Cust 5436"/>
    <n v="39.92"/>
    <d v="2025-01-02T00:00:00"/>
    <d v="2025-01-09T00:00:00"/>
    <x v="3"/>
  </r>
  <r>
    <x v="429"/>
    <x v="2"/>
    <x v="2"/>
    <n v="4"/>
    <n v="85.96"/>
    <x v="1"/>
    <x v="1"/>
    <x v="1"/>
    <x v="2"/>
    <n v="309.45600000000002"/>
    <x v="2"/>
    <x v="3"/>
    <n v="0"/>
    <s v="REG100567"/>
    <s v="Cust 1494"/>
    <n v="32.119999999999997"/>
    <d v="2023-02-22T00:00:00"/>
    <d v="2023-03-03T00:00:00"/>
    <x v="2"/>
  </r>
  <r>
    <x v="323"/>
    <x v="0"/>
    <x v="2"/>
    <n v="2"/>
    <n v="93.49"/>
    <x v="1"/>
    <x v="0"/>
    <x v="1"/>
    <x v="1"/>
    <n v="168.28200000000001"/>
    <x v="3"/>
    <x v="2"/>
    <n v="0"/>
    <s v="REG100568"/>
    <s v="Cust 4380"/>
    <n v="26.31"/>
    <d v="2025-02-06T00:00:00"/>
    <d v="2025-02-16T00:00:00"/>
    <x v="0"/>
  </r>
  <r>
    <x v="217"/>
    <x v="0"/>
    <x v="2"/>
    <n v="11"/>
    <n v="144.29"/>
    <x v="0"/>
    <x v="1"/>
    <x v="3"/>
    <x v="5"/>
    <n v="1507.8305"/>
    <x v="2"/>
    <x v="2"/>
    <n v="0"/>
    <s v="REG100569"/>
    <s v="Cust 7054"/>
    <n v="11.91"/>
    <d v="2024-09-26T00:00:00"/>
    <d v="2024-09-30T00:00:00"/>
    <x v="0"/>
  </r>
  <r>
    <x v="136"/>
    <x v="2"/>
    <x v="3"/>
    <n v="18"/>
    <n v="553.23"/>
    <x v="3"/>
    <x v="0"/>
    <x v="0"/>
    <x v="2"/>
    <n v="9958.14"/>
    <x v="4"/>
    <x v="0"/>
    <n v="0"/>
    <s v="REG100570"/>
    <s v="Cust 1375"/>
    <n v="31.76"/>
    <d v="2025-03-28T00:00:00"/>
    <d v="2025-04-01T00:00:00"/>
    <x v="2"/>
  </r>
  <r>
    <x v="430"/>
    <x v="0"/>
    <x v="3"/>
    <n v="9"/>
    <n v="228.3"/>
    <x v="0"/>
    <x v="1"/>
    <x v="3"/>
    <x v="0"/>
    <n v="1951.9649999999999"/>
    <x v="3"/>
    <x v="0"/>
    <n v="0"/>
    <s v="REG100571"/>
    <s v="Cust 5698"/>
    <n v="8.75"/>
    <d v="2023-07-01T00:00:00"/>
    <d v="2023-07-09T00:00:00"/>
    <x v="0"/>
  </r>
  <r>
    <x v="431"/>
    <x v="4"/>
    <x v="2"/>
    <n v="7"/>
    <n v="235.94"/>
    <x v="3"/>
    <x v="0"/>
    <x v="1"/>
    <x v="1"/>
    <n v="1486.422"/>
    <x v="1"/>
    <x v="0"/>
    <n v="0"/>
    <s v="REG100572"/>
    <s v="Cust 3259"/>
    <n v="8.44"/>
    <d v="2023-04-29T00:00:00"/>
    <d v="2023-05-04T00:00:00"/>
    <x v="4"/>
  </r>
  <r>
    <x v="432"/>
    <x v="0"/>
    <x v="6"/>
    <n v="17"/>
    <n v="369.52"/>
    <x v="2"/>
    <x v="0"/>
    <x v="0"/>
    <x v="3"/>
    <n v="6281.84"/>
    <x v="1"/>
    <x v="3"/>
    <n v="0"/>
    <s v="REG100573"/>
    <s v="Cust 9295"/>
    <n v="17.12"/>
    <d v="2023-04-30T00:00:00"/>
    <d v="2023-05-06T00:00:00"/>
    <x v="0"/>
  </r>
  <r>
    <x v="47"/>
    <x v="4"/>
    <x v="1"/>
    <n v="8"/>
    <n v="142.09"/>
    <x v="1"/>
    <x v="0"/>
    <x v="0"/>
    <x v="0"/>
    <n v="1136.72"/>
    <x v="2"/>
    <x v="2"/>
    <n v="0"/>
    <s v="REG100574"/>
    <s v="Cust 7035"/>
    <n v="38.97"/>
    <d v="2024-03-14T00:00:00"/>
    <d v="2024-03-20T00:00:00"/>
    <x v="4"/>
  </r>
  <r>
    <x v="161"/>
    <x v="3"/>
    <x v="3"/>
    <n v="3"/>
    <n v="497.61"/>
    <x v="0"/>
    <x v="0"/>
    <x v="2"/>
    <x v="1"/>
    <n v="1268.9055000000001"/>
    <x v="4"/>
    <x v="0"/>
    <n v="1"/>
    <s v="REG100575"/>
    <s v="Cust 9049"/>
    <n v="13.97"/>
    <d v="2023-06-27T00:00:00"/>
    <d v="2023-07-02T00:00:00"/>
    <x v="3"/>
  </r>
  <r>
    <x v="10"/>
    <x v="2"/>
    <x v="0"/>
    <n v="19"/>
    <n v="9.48"/>
    <x v="1"/>
    <x v="0"/>
    <x v="0"/>
    <x v="3"/>
    <n v="180.12"/>
    <x v="0"/>
    <x v="3"/>
    <n v="0"/>
    <s v="REG100576"/>
    <s v="Cust 6173"/>
    <n v="22.33"/>
    <d v="2024-04-10T00:00:00"/>
    <d v="2024-04-12T00:00:00"/>
    <x v="2"/>
  </r>
  <r>
    <x v="286"/>
    <x v="3"/>
    <x v="6"/>
    <n v="8"/>
    <n v="55.27"/>
    <x v="1"/>
    <x v="0"/>
    <x v="2"/>
    <x v="5"/>
    <n v="375.83600000000001"/>
    <x v="4"/>
    <x v="2"/>
    <n v="0"/>
    <s v="REG100577"/>
    <s v="Cust 3447"/>
    <n v="16.84"/>
    <d v="2023-08-30T00:00:00"/>
    <d v="2023-09-01T00:00:00"/>
    <x v="3"/>
  </r>
  <r>
    <x v="25"/>
    <x v="4"/>
    <x v="0"/>
    <n v="17"/>
    <n v="25.95"/>
    <x v="0"/>
    <x v="0"/>
    <x v="3"/>
    <x v="5"/>
    <n v="419.09249999999997"/>
    <x v="1"/>
    <x v="3"/>
    <n v="0"/>
    <s v="REG100578"/>
    <s v="Cust 2218"/>
    <n v="27.68"/>
    <d v="2023-10-23T00:00:00"/>
    <d v="2023-10-30T00:00:00"/>
    <x v="4"/>
  </r>
  <r>
    <x v="433"/>
    <x v="2"/>
    <x v="2"/>
    <n v="18"/>
    <n v="209.65"/>
    <x v="1"/>
    <x v="0"/>
    <x v="1"/>
    <x v="3"/>
    <n v="3396.33"/>
    <x v="3"/>
    <x v="3"/>
    <n v="0"/>
    <s v="REG100579"/>
    <s v="Cust 8882"/>
    <n v="42.04"/>
    <d v="2023-03-23T00:00:00"/>
    <d v="2023-03-30T00:00:00"/>
    <x v="2"/>
  </r>
  <r>
    <x v="367"/>
    <x v="3"/>
    <x v="0"/>
    <n v="13"/>
    <n v="75.77"/>
    <x v="0"/>
    <x v="0"/>
    <x v="2"/>
    <x v="2"/>
    <n v="837.25850000000003"/>
    <x v="3"/>
    <x v="1"/>
    <n v="0"/>
    <s v="REG100580"/>
    <s v="Cust 6709"/>
    <n v="41.94"/>
    <d v="2024-09-21T00:00:00"/>
    <d v="2024-09-30T00:00:00"/>
    <x v="3"/>
  </r>
  <r>
    <x v="215"/>
    <x v="4"/>
    <x v="5"/>
    <n v="5"/>
    <n v="307.83999999999997"/>
    <x v="0"/>
    <x v="0"/>
    <x v="1"/>
    <x v="5"/>
    <n v="1385.28"/>
    <x v="0"/>
    <x v="1"/>
    <n v="0"/>
    <s v="REG100581"/>
    <s v="Cust 8727"/>
    <n v="13.61"/>
    <d v="2024-12-26T00:00:00"/>
    <d v="2025-01-03T00:00:00"/>
    <x v="4"/>
  </r>
  <r>
    <x v="16"/>
    <x v="0"/>
    <x v="1"/>
    <n v="13"/>
    <n v="6.5"/>
    <x v="1"/>
    <x v="0"/>
    <x v="0"/>
    <x v="4"/>
    <n v="84.5"/>
    <x v="4"/>
    <x v="3"/>
    <n v="0"/>
    <s v="REG100582"/>
    <s v="Cust 8359"/>
    <n v="20.02"/>
    <d v="2023-02-26T00:00:00"/>
    <d v="2023-03-03T00:00:00"/>
    <x v="0"/>
  </r>
  <r>
    <x v="434"/>
    <x v="2"/>
    <x v="4"/>
    <n v="8"/>
    <n v="70.790000000000006"/>
    <x v="0"/>
    <x v="0"/>
    <x v="0"/>
    <x v="4"/>
    <n v="566.32000000000005"/>
    <x v="0"/>
    <x v="3"/>
    <n v="0"/>
    <s v="REG100583"/>
    <s v="Cust 1514"/>
    <n v="46.35"/>
    <d v="2024-12-10T00:00:00"/>
    <d v="2024-12-14T00:00:00"/>
    <x v="2"/>
  </r>
  <r>
    <x v="435"/>
    <x v="0"/>
    <x v="0"/>
    <n v="17"/>
    <n v="584.70000000000005"/>
    <x v="3"/>
    <x v="1"/>
    <x v="1"/>
    <x v="0"/>
    <n v="8945.9100000000017"/>
    <x v="0"/>
    <x v="3"/>
    <n v="1"/>
    <s v="REG100584"/>
    <s v="Cust 2774"/>
    <n v="46.59"/>
    <d v="2025-01-01T00:00:00"/>
    <d v="2025-01-03T00:00:00"/>
    <x v="0"/>
  </r>
  <r>
    <x v="95"/>
    <x v="0"/>
    <x v="1"/>
    <n v="4"/>
    <n v="23.27"/>
    <x v="2"/>
    <x v="0"/>
    <x v="2"/>
    <x v="4"/>
    <n v="79.117999999999995"/>
    <x v="0"/>
    <x v="1"/>
    <n v="0"/>
    <s v="REG100585"/>
    <s v="Cust 4270"/>
    <n v="32.86"/>
    <d v="2025-03-14T00:00:00"/>
    <d v="2025-03-21T00:00:00"/>
    <x v="0"/>
  </r>
  <r>
    <x v="436"/>
    <x v="1"/>
    <x v="5"/>
    <n v="5"/>
    <n v="440.93"/>
    <x v="0"/>
    <x v="0"/>
    <x v="1"/>
    <x v="3"/>
    <n v="1984.1849999999999"/>
    <x v="1"/>
    <x v="3"/>
    <n v="0"/>
    <s v="REG100586"/>
    <s v="Cust 3123"/>
    <n v="23.84"/>
    <d v="2024-01-16T00:00:00"/>
    <d v="2024-01-20T00:00:00"/>
    <x v="1"/>
  </r>
  <r>
    <x v="53"/>
    <x v="4"/>
    <x v="5"/>
    <n v="10"/>
    <n v="278.45"/>
    <x v="3"/>
    <x v="0"/>
    <x v="0"/>
    <x v="0"/>
    <n v="2784.5"/>
    <x v="2"/>
    <x v="1"/>
    <n v="0"/>
    <s v="REG100587"/>
    <s v="Cust 7414"/>
    <n v="11.13"/>
    <d v="2024-04-19T00:00:00"/>
    <d v="2024-04-25T00:00:00"/>
    <x v="4"/>
  </r>
  <r>
    <x v="437"/>
    <x v="2"/>
    <x v="4"/>
    <n v="14"/>
    <n v="382.19"/>
    <x v="0"/>
    <x v="0"/>
    <x v="3"/>
    <x v="2"/>
    <n v="5083.1269999999986"/>
    <x v="4"/>
    <x v="0"/>
    <n v="1"/>
    <s v="REG100588"/>
    <s v="Cust 5051"/>
    <n v="49.12"/>
    <d v="2023-12-08T00:00:00"/>
    <d v="2023-12-11T00:00:00"/>
    <x v="2"/>
  </r>
  <r>
    <x v="438"/>
    <x v="2"/>
    <x v="4"/>
    <n v="14"/>
    <n v="232.49"/>
    <x v="3"/>
    <x v="0"/>
    <x v="3"/>
    <x v="4"/>
    <n v="3092.1170000000002"/>
    <x v="0"/>
    <x v="1"/>
    <n v="1"/>
    <s v="REG100589"/>
    <s v="Cust 5975"/>
    <n v="5.32"/>
    <d v="2023-03-15T00:00:00"/>
    <d v="2023-03-19T00:00:00"/>
    <x v="2"/>
  </r>
  <r>
    <x v="439"/>
    <x v="1"/>
    <x v="0"/>
    <n v="17"/>
    <n v="15.01"/>
    <x v="3"/>
    <x v="0"/>
    <x v="2"/>
    <x v="4"/>
    <n v="216.89449999999999"/>
    <x v="3"/>
    <x v="1"/>
    <n v="1"/>
    <s v="REG100590"/>
    <s v="Cust 6948"/>
    <n v="22"/>
    <d v="2025-02-07T00:00:00"/>
    <d v="2025-02-13T00:00:00"/>
    <x v="1"/>
  </r>
  <r>
    <x v="440"/>
    <x v="2"/>
    <x v="4"/>
    <n v="11"/>
    <n v="29.41"/>
    <x v="3"/>
    <x v="1"/>
    <x v="3"/>
    <x v="3"/>
    <n v="307.33449999999999"/>
    <x v="2"/>
    <x v="1"/>
    <n v="0"/>
    <s v="REG100591"/>
    <s v="Cust 8253"/>
    <n v="6.16"/>
    <d v="2025-06-27T00:00:00"/>
    <d v="2025-07-02T00:00:00"/>
    <x v="2"/>
  </r>
  <r>
    <x v="441"/>
    <x v="3"/>
    <x v="5"/>
    <n v="1"/>
    <n v="486.19"/>
    <x v="0"/>
    <x v="1"/>
    <x v="3"/>
    <x v="2"/>
    <n v="461.88049999999998"/>
    <x v="0"/>
    <x v="1"/>
    <n v="0"/>
    <s v="REG100592"/>
    <s v="Cust 7238"/>
    <n v="41.73"/>
    <d v="2024-12-17T00:00:00"/>
    <d v="2024-12-20T00:00:00"/>
    <x v="3"/>
  </r>
  <r>
    <x v="80"/>
    <x v="1"/>
    <x v="0"/>
    <n v="6"/>
    <n v="266.67"/>
    <x v="0"/>
    <x v="0"/>
    <x v="3"/>
    <x v="0"/>
    <n v="1520.019"/>
    <x v="3"/>
    <x v="3"/>
    <n v="0"/>
    <s v="REG100593"/>
    <s v="Cust 2219"/>
    <n v="48.49"/>
    <d v="2024-05-03T00:00:00"/>
    <d v="2024-05-11T00:00:00"/>
    <x v="1"/>
  </r>
  <r>
    <x v="442"/>
    <x v="1"/>
    <x v="6"/>
    <n v="3"/>
    <n v="300.8"/>
    <x v="0"/>
    <x v="0"/>
    <x v="1"/>
    <x v="3"/>
    <n v="812.16000000000008"/>
    <x v="4"/>
    <x v="3"/>
    <n v="1"/>
    <s v="REG100594"/>
    <s v="Cust 4297"/>
    <n v="15.98"/>
    <d v="2023-12-26T00:00:00"/>
    <d v="2024-01-01T00:00:00"/>
    <x v="1"/>
  </r>
  <r>
    <x v="443"/>
    <x v="3"/>
    <x v="6"/>
    <n v="11"/>
    <n v="79.63"/>
    <x v="0"/>
    <x v="0"/>
    <x v="3"/>
    <x v="2"/>
    <n v="832.13349999999991"/>
    <x v="0"/>
    <x v="3"/>
    <n v="0"/>
    <s v="REG100595"/>
    <s v="Cust 6665"/>
    <n v="43.84"/>
    <d v="2024-05-13T00:00:00"/>
    <d v="2024-05-19T00:00:00"/>
    <x v="3"/>
  </r>
  <r>
    <x v="444"/>
    <x v="1"/>
    <x v="0"/>
    <n v="6"/>
    <n v="505.7"/>
    <x v="2"/>
    <x v="1"/>
    <x v="0"/>
    <x v="1"/>
    <n v="3034.2"/>
    <x v="4"/>
    <x v="3"/>
    <n v="0"/>
    <s v="REG100596"/>
    <s v="Cust 4252"/>
    <n v="40.380000000000003"/>
    <d v="2023-10-07T00:00:00"/>
    <d v="2023-10-16T00:00:00"/>
    <x v="1"/>
  </r>
  <r>
    <x v="445"/>
    <x v="4"/>
    <x v="6"/>
    <n v="5"/>
    <n v="569.62"/>
    <x v="2"/>
    <x v="0"/>
    <x v="0"/>
    <x v="4"/>
    <n v="2848.1"/>
    <x v="3"/>
    <x v="0"/>
    <n v="0"/>
    <s v="REG100597"/>
    <s v="Cust 6104"/>
    <n v="48.8"/>
    <d v="2023-07-11T00:00:00"/>
    <d v="2023-07-13T00:00:00"/>
    <x v="4"/>
  </r>
  <r>
    <x v="94"/>
    <x v="1"/>
    <x v="5"/>
    <n v="19"/>
    <n v="90.85"/>
    <x v="2"/>
    <x v="1"/>
    <x v="3"/>
    <x v="1"/>
    <n v="1639.8425"/>
    <x v="2"/>
    <x v="1"/>
    <n v="0"/>
    <s v="REG100598"/>
    <s v="Cust 6407"/>
    <n v="22.28"/>
    <d v="2025-01-31T00:00:00"/>
    <d v="2025-02-06T00:00:00"/>
    <x v="1"/>
  </r>
  <r>
    <x v="446"/>
    <x v="1"/>
    <x v="3"/>
    <n v="2"/>
    <n v="296.91000000000003"/>
    <x v="1"/>
    <x v="0"/>
    <x v="3"/>
    <x v="3"/>
    <n v="564.12900000000002"/>
    <x v="3"/>
    <x v="2"/>
    <n v="0"/>
    <s v="REG100599"/>
    <s v="Cust 3573"/>
    <n v="44.35"/>
    <d v="2023-02-04T00:00:00"/>
    <d v="2023-02-07T00:00:00"/>
    <x v="1"/>
  </r>
  <r>
    <x v="447"/>
    <x v="1"/>
    <x v="6"/>
    <n v="2"/>
    <n v="6.19"/>
    <x v="0"/>
    <x v="1"/>
    <x v="1"/>
    <x v="2"/>
    <n v="11.141999999999999"/>
    <x v="2"/>
    <x v="0"/>
    <n v="1"/>
    <s v="REG100600"/>
    <s v="Cust 5280"/>
    <n v="47.24"/>
    <d v="2023-09-02T00:00:00"/>
    <d v="2023-09-12T00:00:00"/>
    <x v="1"/>
  </r>
  <r>
    <x v="167"/>
    <x v="3"/>
    <x v="4"/>
    <n v="18"/>
    <n v="207.35"/>
    <x v="3"/>
    <x v="0"/>
    <x v="2"/>
    <x v="1"/>
    <n v="3172.454999999999"/>
    <x v="3"/>
    <x v="0"/>
    <n v="0"/>
    <s v="REG100601"/>
    <s v="Cust 2365"/>
    <n v="11.17"/>
    <d v="2024-12-13T00:00:00"/>
    <d v="2024-12-15T00:00:00"/>
    <x v="3"/>
  </r>
  <r>
    <x v="448"/>
    <x v="3"/>
    <x v="5"/>
    <n v="5"/>
    <n v="75.27"/>
    <x v="1"/>
    <x v="0"/>
    <x v="0"/>
    <x v="3"/>
    <n v="376.35"/>
    <x v="4"/>
    <x v="3"/>
    <n v="0"/>
    <s v="REG100602"/>
    <s v="Cust 7130"/>
    <n v="31.61"/>
    <d v="2023-10-13T00:00:00"/>
    <d v="2023-10-22T00:00:00"/>
    <x v="3"/>
  </r>
  <r>
    <x v="449"/>
    <x v="1"/>
    <x v="4"/>
    <n v="3"/>
    <n v="136.15"/>
    <x v="1"/>
    <x v="1"/>
    <x v="1"/>
    <x v="4"/>
    <n v="367.60500000000008"/>
    <x v="1"/>
    <x v="1"/>
    <n v="0"/>
    <s v="REG100603"/>
    <s v="Cust 6539"/>
    <n v="48.38"/>
    <d v="2024-10-03T00:00:00"/>
    <d v="2024-10-07T00:00:00"/>
    <x v="1"/>
  </r>
  <r>
    <x v="450"/>
    <x v="3"/>
    <x v="2"/>
    <n v="5"/>
    <n v="544.66"/>
    <x v="0"/>
    <x v="1"/>
    <x v="1"/>
    <x v="4"/>
    <n v="2450.9699999999998"/>
    <x v="0"/>
    <x v="1"/>
    <n v="0"/>
    <s v="REG100604"/>
    <s v="Cust 1656"/>
    <n v="8.39"/>
    <d v="2024-04-28T00:00:00"/>
    <d v="2024-05-04T00:00:00"/>
    <x v="3"/>
  </r>
  <r>
    <x v="451"/>
    <x v="3"/>
    <x v="2"/>
    <n v="8"/>
    <n v="561.9"/>
    <x v="1"/>
    <x v="1"/>
    <x v="2"/>
    <x v="5"/>
    <n v="3820.92"/>
    <x v="0"/>
    <x v="0"/>
    <n v="1"/>
    <s v="REG100605"/>
    <s v="Cust 1932"/>
    <n v="15.97"/>
    <d v="2024-02-07T00:00:00"/>
    <d v="2024-02-14T00:00:00"/>
    <x v="3"/>
  </r>
  <r>
    <x v="162"/>
    <x v="1"/>
    <x v="3"/>
    <n v="20"/>
    <n v="313.47000000000003"/>
    <x v="2"/>
    <x v="1"/>
    <x v="2"/>
    <x v="1"/>
    <n v="5328.9900000000007"/>
    <x v="0"/>
    <x v="0"/>
    <n v="0"/>
    <s v="REG100606"/>
    <s v="Cust 7367"/>
    <n v="18.170000000000002"/>
    <d v="2023-02-08T00:00:00"/>
    <d v="2023-02-11T00:00:00"/>
    <x v="1"/>
  </r>
  <r>
    <x v="357"/>
    <x v="1"/>
    <x v="1"/>
    <n v="1"/>
    <n v="418.45"/>
    <x v="2"/>
    <x v="1"/>
    <x v="2"/>
    <x v="4"/>
    <n v="355.6825"/>
    <x v="4"/>
    <x v="2"/>
    <n v="0"/>
    <s v="REG100607"/>
    <s v="Cust 1116"/>
    <n v="35.58"/>
    <d v="2023-06-17T00:00:00"/>
    <d v="2023-06-19T00:00:00"/>
    <x v="1"/>
  </r>
  <r>
    <x v="452"/>
    <x v="4"/>
    <x v="4"/>
    <n v="8"/>
    <n v="420.75"/>
    <x v="0"/>
    <x v="0"/>
    <x v="1"/>
    <x v="5"/>
    <n v="3029.4"/>
    <x v="0"/>
    <x v="1"/>
    <n v="1"/>
    <s v="REG100608"/>
    <s v="Cust 4464"/>
    <n v="44.61"/>
    <d v="2024-07-29T00:00:00"/>
    <d v="2024-08-01T00:00:00"/>
    <x v="4"/>
  </r>
  <r>
    <x v="282"/>
    <x v="4"/>
    <x v="6"/>
    <n v="16"/>
    <n v="514.36"/>
    <x v="3"/>
    <x v="0"/>
    <x v="0"/>
    <x v="1"/>
    <n v="8229.76"/>
    <x v="0"/>
    <x v="1"/>
    <n v="0"/>
    <s v="REG100609"/>
    <s v="Cust 2543"/>
    <n v="40.75"/>
    <d v="2024-01-29T00:00:00"/>
    <d v="2024-02-01T00:00:00"/>
    <x v="4"/>
  </r>
  <r>
    <x v="453"/>
    <x v="0"/>
    <x v="1"/>
    <n v="2"/>
    <n v="297.2"/>
    <x v="0"/>
    <x v="1"/>
    <x v="1"/>
    <x v="2"/>
    <n v="534.96"/>
    <x v="1"/>
    <x v="0"/>
    <n v="0"/>
    <s v="REG100610"/>
    <s v="Cust 7948"/>
    <n v="8.7100000000000009"/>
    <d v="2024-01-18T00:00:00"/>
    <d v="2024-01-23T00:00:00"/>
    <x v="0"/>
  </r>
  <r>
    <x v="305"/>
    <x v="2"/>
    <x v="3"/>
    <n v="10"/>
    <n v="278"/>
    <x v="2"/>
    <x v="1"/>
    <x v="0"/>
    <x v="5"/>
    <n v="2780"/>
    <x v="2"/>
    <x v="3"/>
    <n v="0"/>
    <s v="REG100611"/>
    <s v="Cust 3199"/>
    <n v="24.25"/>
    <d v="2024-08-12T00:00:00"/>
    <d v="2024-08-22T00:00:00"/>
    <x v="2"/>
  </r>
  <r>
    <x v="454"/>
    <x v="4"/>
    <x v="4"/>
    <n v="8"/>
    <n v="583.16999999999996"/>
    <x v="3"/>
    <x v="0"/>
    <x v="1"/>
    <x v="2"/>
    <n v="4198.8239999999996"/>
    <x v="2"/>
    <x v="2"/>
    <n v="0"/>
    <s v="REG100612"/>
    <s v="Cust 2800"/>
    <n v="49.18"/>
    <d v="2025-04-16T00:00:00"/>
    <d v="2025-04-20T00:00:00"/>
    <x v="4"/>
  </r>
  <r>
    <x v="16"/>
    <x v="3"/>
    <x v="2"/>
    <n v="16"/>
    <n v="75.62"/>
    <x v="3"/>
    <x v="1"/>
    <x v="1"/>
    <x v="4"/>
    <n v="1088.9280000000001"/>
    <x v="4"/>
    <x v="2"/>
    <n v="0"/>
    <s v="REG100613"/>
    <s v="Cust 3863"/>
    <n v="27.39"/>
    <d v="2023-02-26T00:00:00"/>
    <d v="2023-03-02T00:00:00"/>
    <x v="3"/>
  </r>
  <r>
    <x v="455"/>
    <x v="0"/>
    <x v="2"/>
    <n v="13"/>
    <n v="561.62"/>
    <x v="2"/>
    <x v="0"/>
    <x v="3"/>
    <x v="2"/>
    <n v="6936.0069999999996"/>
    <x v="1"/>
    <x v="0"/>
    <n v="0"/>
    <s v="REG100614"/>
    <s v="Cust 8391"/>
    <n v="12.91"/>
    <d v="2023-01-07T00:00:00"/>
    <d v="2023-01-11T00:00:00"/>
    <x v="0"/>
  </r>
  <r>
    <x v="456"/>
    <x v="1"/>
    <x v="2"/>
    <n v="5"/>
    <n v="359.61"/>
    <x v="1"/>
    <x v="1"/>
    <x v="0"/>
    <x v="5"/>
    <n v="1798.05"/>
    <x v="0"/>
    <x v="0"/>
    <n v="0"/>
    <s v="REG100615"/>
    <s v="Cust 6711"/>
    <n v="41.31"/>
    <d v="2023-10-24T00:00:00"/>
    <d v="2023-11-03T00:00:00"/>
    <x v="1"/>
  </r>
  <r>
    <x v="78"/>
    <x v="2"/>
    <x v="5"/>
    <n v="15"/>
    <n v="115.48"/>
    <x v="1"/>
    <x v="1"/>
    <x v="2"/>
    <x v="2"/>
    <n v="1472.37"/>
    <x v="2"/>
    <x v="3"/>
    <n v="0"/>
    <s v="REG100616"/>
    <s v="Cust 8653"/>
    <n v="6.04"/>
    <d v="2024-01-02T00:00:00"/>
    <d v="2024-01-12T00:00:00"/>
    <x v="2"/>
  </r>
  <r>
    <x v="457"/>
    <x v="1"/>
    <x v="0"/>
    <n v="12"/>
    <n v="596.26"/>
    <x v="3"/>
    <x v="0"/>
    <x v="2"/>
    <x v="0"/>
    <n v="6081.8519999999999"/>
    <x v="1"/>
    <x v="2"/>
    <n v="0"/>
    <s v="REG100617"/>
    <s v="Cust 7937"/>
    <n v="28.27"/>
    <d v="2024-09-17T00:00:00"/>
    <d v="2024-09-25T00:00:00"/>
    <x v="1"/>
  </r>
  <r>
    <x v="458"/>
    <x v="3"/>
    <x v="5"/>
    <n v="19"/>
    <n v="401.68"/>
    <x v="2"/>
    <x v="0"/>
    <x v="3"/>
    <x v="1"/>
    <n v="7250.3239999999996"/>
    <x v="3"/>
    <x v="2"/>
    <n v="1"/>
    <s v="REG100618"/>
    <s v="Cust 5972"/>
    <n v="37.770000000000003"/>
    <d v="2024-05-05T00:00:00"/>
    <d v="2024-05-11T00:00:00"/>
    <x v="3"/>
  </r>
  <r>
    <x v="440"/>
    <x v="4"/>
    <x v="2"/>
    <n v="13"/>
    <n v="112.88"/>
    <x v="3"/>
    <x v="1"/>
    <x v="0"/>
    <x v="2"/>
    <n v="1467.44"/>
    <x v="3"/>
    <x v="3"/>
    <n v="0"/>
    <s v="REG100619"/>
    <s v="Cust 8597"/>
    <n v="12.39"/>
    <d v="2025-06-27T00:00:00"/>
    <d v="2025-06-29T00:00:00"/>
    <x v="4"/>
  </r>
  <r>
    <x v="125"/>
    <x v="4"/>
    <x v="1"/>
    <n v="6"/>
    <n v="370.08"/>
    <x v="3"/>
    <x v="1"/>
    <x v="2"/>
    <x v="1"/>
    <n v="1887.4079999999999"/>
    <x v="0"/>
    <x v="1"/>
    <n v="0"/>
    <s v="REG100620"/>
    <s v="Cust 5382"/>
    <n v="7.39"/>
    <d v="2024-05-14T00:00:00"/>
    <d v="2024-05-22T00:00:00"/>
    <x v="4"/>
  </r>
  <r>
    <x v="459"/>
    <x v="2"/>
    <x v="3"/>
    <n v="15"/>
    <n v="119.86"/>
    <x v="1"/>
    <x v="0"/>
    <x v="2"/>
    <x v="5"/>
    <n v="1528.2149999999999"/>
    <x v="3"/>
    <x v="3"/>
    <n v="1"/>
    <s v="REG100621"/>
    <s v="Cust 4323"/>
    <n v="30.78"/>
    <d v="2024-02-29T00:00:00"/>
    <d v="2024-03-05T00:00:00"/>
    <x v="2"/>
  </r>
  <r>
    <x v="460"/>
    <x v="0"/>
    <x v="1"/>
    <n v="5"/>
    <n v="271.44"/>
    <x v="1"/>
    <x v="0"/>
    <x v="2"/>
    <x v="4"/>
    <n v="1153.6199999999999"/>
    <x v="3"/>
    <x v="0"/>
    <n v="0"/>
    <s v="REG100622"/>
    <s v="Cust 1767"/>
    <n v="5.98"/>
    <d v="2025-05-19T00:00:00"/>
    <d v="2025-05-27T00:00:00"/>
    <x v="0"/>
  </r>
  <r>
    <x v="461"/>
    <x v="0"/>
    <x v="2"/>
    <n v="9"/>
    <n v="363.39"/>
    <x v="0"/>
    <x v="0"/>
    <x v="3"/>
    <x v="4"/>
    <n v="3106.9845"/>
    <x v="1"/>
    <x v="3"/>
    <n v="0"/>
    <s v="REG100623"/>
    <s v="Cust 3845"/>
    <n v="41.64"/>
    <d v="2024-12-02T00:00:00"/>
    <d v="2024-12-04T00:00:00"/>
    <x v="0"/>
  </r>
  <r>
    <x v="117"/>
    <x v="4"/>
    <x v="6"/>
    <n v="12"/>
    <n v="533.77"/>
    <x v="3"/>
    <x v="0"/>
    <x v="2"/>
    <x v="1"/>
    <n v="5444.4539999999997"/>
    <x v="4"/>
    <x v="1"/>
    <n v="0"/>
    <s v="REG100624"/>
    <s v="Cust 5912"/>
    <n v="48.71"/>
    <d v="2024-07-30T00:00:00"/>
    <d v="2024-08-04T00:00:00"/>
    <x v="4"/>
  </r>
  <r>
    <x v="416"/>
    <x v="1"/>
    <x v="2"/>
    <n v="12"/>
    <n v="192.03"/>
    <x v="0"/>
    <x v="0"/>
    <x v="1"/>
    <x v="3"/>
    <n v="2073.924"/>
    <x v="2"/>
    <x v="3"/>
    <n v="0"/>
    <s v="REG100625"/>
    <s v="Cust 4446"/>
    <n v="41.08"/>
    <d v="2023-06-25T00:00:00"/>
    <d v="2023-07-03T00:00:00"/>
    <x v="1"/>
  </r>
  <r>
    <x v="462"/>
    <x v="1"/>
    <x v="3"/>
    <n v="20"/>
    <n v="504.22"/>
    <x v="3"/>
    <x v="0"/>
    <x v="0"/>
    <x v="2"/>
    <n v="10084.4"/>
    <x v="0"/>
    <x v="2"/>
    <n v="0"/>
    <s v="REG100626"/>
    <s v="Cust 6107"/>
    <n v="14.61"/>
    <d v="2024-07-10T00:00:00"/>
    <d v="2024-07-19T00:00:00"/>
    <x v="1"/>
  </r>
  <r>
    <x v="463"/>
    <x v="0"/>
    <x v="0"/>
    <n v="7"/>
    <n v="193.66"/>
    <x v="1"/>
    <x v="0"/>
    <x v="1"/>
    <x v="4"/>
    <n v="1220.058"/>
    <x v="2"/>
    <x v="0"/>
    <n v="0"/>
    <s v="REG100627"/>
    <s v="Cust 3330"/>
    <n v="39.01"/>
    <d v="2023-01-06T00:00:00"/>
    <d v="2023-01-15T00:00:00"/>
    <x v="0"/>
  </r>
  <r>
    <x v="62"/>
    <x v="1"/>
    <x v="3"/>
    <n v="3"/>
    <n v="270.83"/>
    <x v="0"/>
    <x v="0"/>
    <x v="1"/>
    <x v="3"/>
    <n v="731.24099999999999"/>
    <x v="0"/>
    <x v="1"/>
    <n v="1"/>
    <s v="REG100628"/>
    <s v="Cust 3604"/>
    <n v="17.2"/>
    <d v="2024-02-24T00:00:00"/>
    <d v="2024-02-29T00:00:00"/>
    <x v="1"/>
  </r>
  <r>
    <x v="464"/>
    <x v="3"/>
    <x v="5"/>
    <n v="18"/>
    <n v="62.08"/>
    <x v="0"/>
    <x v="1"/>
    <x v="0"/>
    <x v="4"/>
    <n v="1117.44"/>
    <x v="2"/>
    <x v="1"/>
    <n v="1"/>
    <s v="REG100629"/>
    <s v="Cust 7412"/>
    <n v="8.67"/>
    <d v="2023-12-11T00:00:00"/>
    <d v="2023-12-20T00:00:00"/>
    <x v="3"/>
  </r>
  <r>
    <x v="465"/>
    <x v="1"/>
    <x v="6"/>
    <n v="11"/>
    <n v="505.96"/>
    <x v="2"/>
    <x v="0"/>
    <x v="2"/>
    <x v="0"/>
    <n v="4730.7259999999997"/>
    <x v="3"/>
    <x v="0"/>
    <n v="1"/>
    <s v="REG100630"/>
    <s v="Cust 5183"/>
    <n v="22.84"/>
    <d v="2025-02-19T00:00:00"/>
    <d v="2025-02-23T00:00:00"/>
    <x v="1"/>
  </r>
  <r>
    <x v="213"/>
    <x v="4"/>
    <x v="5"/>
    <n v="4"/>
    <n v="62.46"/>
    <x v="3"/>
    <x v="0"/>
    <x v="2"/>
    <x v="1"/>
    <n v="212.364"/>
    <x v="3"/>
    <x v="2"/>
    <n v="0"/>
    <s v="REG100631"/>
    <s v="Cust 4825"/>
    <n v="31.91"/>
    <d v="2025-03-18T00:00:00"/>
    <d v="2025-03-26T00:00:00"/>
    <x v="4"/>
  </r>
  <r>
    <x v="466"/>
    <x v="1"/>
    <x v="1"/>
    <n v="7"/>
    <n v="480.08"/>
    <x v="0"/>
    <x v="0"/>
    <x v="1"/>
    <x v="4"/>
    <n v="3024.5039999999999"/>
    <x v="0"/>
    <x v="3"/>
    <n v="1"/>
    <s v="REG100632"/>
    <s v="Cust 2123"/>
    <n v="44.37"/>
    <d v="2023-09-22T00:00:00"/>
    <d v="2023-09-27T00:00:00"/>
    <x v="1"/>
  </r>
  <r>
    <x v="467"/>
    <x v="4"/>
    <x v="5"/>
    <n v="18"/>
    <n v="60.66"/>
    <x v="1"/>
    <x v="1"/>
    <x v="0"/>
    <x v="5"/>
    <n v="1091.8800000000001"/>
    <x v="0"/>
    <x v="0"/>
    <n v="1"/>
    <s v="REG100633"/>
    <s v="Cust 8684"/>
    <n v="10.08"/>
    <d v="2023-12-23T00:00:00"/>
    <d v="2023-12-28T00:00:00"/>
    <x v="4"/>
  </r>
  <r>
    <x v="291"/>
    <x v="2"/>
    <x v="2"/>
    <n v="6"/>
    <n v="249.09"/>
    <x v="0"/>
    <x v="1"/>
    <x v="3"/>
    <x v="2"/>
    <n v="1419.8130000000001"/>
    <x v="4"/>
    <x v="3"/>
    <n v="0"/>
    <s v="REG100634"/>
    <s v="Cust 5964"/>
    <n v="20.38"/>
    <d v="2025-05-04T00:00:00"/>
    <d v="2025-05-10T00:00:00"/>
    <x v="2"/>
  </r>
  <r>
    <x v="405"/>
    <x v="0"/>
    <x v="1"/>
    <n v="20"/>
    <n v="400.05"/>
    <x v="3"/>
    <x v="0"/>
    <x v="1"/>
    <x v="4"/>
    <n v="7200.9000000000005"/>
    <x v="3"/>
    <x v="2"/>
    <n v="0"/>
    <s v="REG100635"/>
    <s v="Cust 1810"/>
    <n v="24.41"/>
    <d v="2025-01-11T00:00:00"/>
    <d v="2025-01-13T00:00:00"/>
    <x v="0"/>
  </r>
  <r>
    <x v="468"/>
    <x v="1"/>
    <x v="6"/>
    <n v="1"/>
    <n v="130.87"/>
    <x v="0"/>
    <x v="1"/>
    <x v="3"/>
    <x v="4"/>
    <n v="124.3265"/>
    <x v="0"/>
    <x v="2"/>
    <n v="0"/>
    <s v="REG100636"/>
    <s v="Cust 2685"/>
    <n v="43.21"/>
    <d v="2025-04-21T00:00:00"/>
    <d v="2025-04-24T00:00:00"/>
    <x v="1"/>
  </r>
  <r>
    <x v="469"/>
    <x v="3"/>
    <x v="5"/>
    <n v="11"/>
    <n v="133.08000000000001"/>
    <x v="1"/>
    <x v="0"/>
    <x v="2"/>
    <x v="2"/>
    <n v="1244.298"/>
    <x v="2"/>
    <x v="2"/>
    <n v="0"/>
    <s v="REG100637"/>
    <s v="Cust 7855"/>
    <n v="44.61"/>
    <d v="2023-12-13T00:00:00"/>
    <d v="2023-12-22T00:00:00"/>
    <x v="3"/>
  </r>
  <r>
    <x v="451"/>
    <x v="0"/>
    <x v="3"/>
    <n v="13"/>
    <n v="448.68"/>
    <x v="0"/>
    <x v="0"/>
    <x v="1"/>
    <x v="4"/>
    <n v="5249.5559999999996"/>
    <x v="2"/>
    <x v="0"/>
    <n v="1"/>
    <s v="REG100638"/>
    <s v="Cust 4101"/>
    <n v="16.82"/>
    <d v="2024-02-07T00:00:00"/>
    <d v="2024-02-11T00:00:00"/>
    <x v="0"/>
  </r>
  <r>
    <x v="470"/>
    <x v="2"/>
    <x v="5"/>
    <n v="19"/>
    <n v="36.229999999999997"/>
    <x v="0"/>
    <x v="0"/>
    <x v="0"/>
    <x v="4"/>
    <n v="688.36999999999989"/>
    <x v="3"/>
    <x v="2"/>
    <n v="0"/>
    <s v="REG100639"/>
    <s v="Cust 7964"/>
    <n v="33.94"/>
    <d v="2024-04-24T00:00:00"/>
    <d v="2024-04-27T00:00:00"/>
    <x v="2"/>
  </r>
  <r>
    <x v="471"/>
    <x v="4"/>
    <x v="3"/>
    <n v="14"/>
    <n v="113.77"/>
    <x v="2"/>
    <x v="1"/>
    <x v="0"/>
    <x v="0"/>
    <n v="1592.78"/>
    <x v="4"/>
    <x v="0"/>
    <n v="0"/>
    <s v="REG100640"/>
    <s v="Cust 5857"/>
    <n v="25.35"/>
    <d v="2023-09-11T00:00:00"/>
    <d v="2023-09-16T00:00:00"/>
    <x v="4"/>
  </r>
  <r>
    <x v="102"/>
    <x v="3"/>
    <x v="6"/>
    <n v="2"/>
    <n v="89.6"/>
    <x v="1"/>
    <x v="1"/>
    <x v="0"/>
    <x v="4"/>
    <n v="179.2"/>
    <x v="1"/>
    <x v="0"/>
    <n v="0"/>
    <s v="REG100641"/>
    <s v="Cust 7010"/>
    <n v="23.69"/>
    <d v="2025-06-09T00:00:00"/>
    <d v="2025-06-12T00:00:00"/>
    <x v="3"/>
  </r>
  <r>
    <x v="472"/>
    <x v="0"/>
    <x v="2"/>
    <n v="3"/>
    <n v="391.92"/>
    <x v="1"/>
    <x v="0"/>
    <x v="2"/>
    <x v="1"/>
    <n v="999.39599999999996"/>
    <x v="3"/>
    <x v="1"/>
    <n v="0"/>
    <s v="REG100642"/>
    <s v="Cust 7917"/>
    <n v="9.86"/>
    <d v="2025-06-06T00:00:00"/>
    <d v="2025-06-16T00:00:00"/>
    <x v="0"/>
  </r>
  <r>
    <x v="473"/>
    <x v="1"/>
    <x v="3"/>
    <n v="10"/>
    <n v="418.93"/>
    <x v="2"/>
    <x v="0"/>
    <x v="1"/>
    <x v="5"/>
    <n v="3770.37"/>
    <x v="2"/>
    <x v="0"/>
    <n v="0"/>
    <s v="REG100643"/>
    <s v="Cust 8111"/>
    <n v="45.63"/>
    <d v="2024-12-23T00:00:00"/>
    <d v="2024-12-28T00:00:00"/>
    <x v="1"/>
  </r>
  <r>
    <x v="474"/>
    <x v="0"/>
    <x v="4"/>
    <n v="12"/>
    <n v="303.08999999999997"/>
    <x v="0"/>
    <x v="0"/>
    <x v="0"/>
    <x v="1"/>
    <n v="3637.08"/>
    <x v="1"/>
    <x v="2"/>
    <n v="1"/>
    <s v="REG100644"/>
    <s v="Cust 4715"/>
    <n v="5.48"/>
    <d v="2023-08-27T00:00:00"/>
    <d v="2023-09-03T00:00:00"/>
    <x v="0"/>
  </r>
  <r>
    <x v="7"/>
    <x v="0"/>
    <x v="4"/>
    <n v="10"/>
    <n v="209.95"/>
    <x v="1"/>
    <x v="0"/>
    <x v="1"/>
    <x v="0"/>
    <n v="1889.55"/>
    <x v="4"/>
    <x v="2"/>
    <n v="0"/>
    <s v="REG100645"/>
    <s v="Cust 8720"/>
    <n v="10.99"/>
    <d v="2023-01-09T00:00:00"/>
    <d v="2023-01-13T00:00:00"/>
    <x v="0"/>
  </r>
  <r>
    <x v="475"/>
    <x v="0"/>
    <x v="0"/>
    <n v="8"/>
    <n v="283.63"/>
    <x v="2"/>
    <x v="0"/>
    <x v="1"/>
    <x v="1"/>
    <n v="2042.136"/>
    <x v="4"/>
    <x v="1"/>
    <n v="0"/>
    <s v="REG100646"/>
    <s v="Cust 8216"/>
    <n v="49.91"/>
    <d v="2025-04-22T00:00:00"/>
    <d v="2025-04-25T00:00:00"/>
    <x v="0"/>
  </r>
  <r>
    <x v="476"/>
    <x v="1"/>
    <x v="1"/>
    <n v="7"/>
    <n v="18.36"/>
    <x v="3"/>
    <x v="1"/>
    <x v="1"/>
    <x v="1"/>
    <n v="115.66800000000001"/>
    <x v="0"/>
    <x v="3"/>
    <n v="0"/>
    <s v="REG100647"/>
    <s v="Cust 6946"/>
    <n v="48.92"/>
    <d v="2023-09-06T00:00:00"/>
    <d v="2023-09-11T00:00:00"/>
    <x v="1"/>
  </r>
  <r>
    <x v="477"/>
    <x v="0"/>
    <x v="4"/>
    <n v="9"/>
    <n v="475.38"/>
    <x v="1"/>
    <x v="0"/>
    <x v="1"/>
    <x v="3"/>
    <n v="3850.578"/>
    <x v="3"/>
    <x v="1"/>
    <n v="0"/>
    <s v="REG100648"/>
    <s v="Cust 9888"/>
    <n v="39.979999999999997"/>
    <d v="2023-01-21T00:00:00"/>
    <d v="2023-01-27T00:00:00"/>
    <x v="0"/>
  </r>
  <r>
    <x v="478"/>
    <x v="3"/>
    <x v="3"/>
    <n v="12"/>
    <n v="591.91999999999996"/>
    <x v="3"/>
    <x v="1"/>
    <x v="0"/>
    <x v="0"/>
    <n v="7103.0399999999991"/>
    <x v="3"/>
    <x v="1"/>
    <n v="0"/>
    <s v="REG100649"/>
    <s v="Cust 4009"/>
    <n v="25.2"/>
    <d v="2024-04-26T00:00:00"/>
    <d v="2024-05-06T00:00:00"/>
    <x v="3"/>
  </r>
  <r>
    <x v="161"/>
    <x v="2"/>
    <x v="1"/>
    <n v="7"/>
    <n v="93.23"/>
    <x v="0"/>
    <x v="1"/>
    <x v="3"/>
    <x v="1"/>
    <n v="619.97950000000003"/>
    <x v="2"/>
    <x v="0"/>
    <n v="1"/>
    <s v="REG100650"/>
    <s v="Cust 9489"/>
    <n v="6.47"/>
    <d v="2023-06-27T00:00:00"/>
    <d v="2023-06-30T00:00:00"/>
    <x v="2"/>
  </r>
  <r>
    <x v="209"/>
    <x v="0"/>
    <x v="5"/>
    <n v="15"/>
    <n v="298.70999999999998"/>
    <x v="2"/>
    <x v="1"/>
    <x v="0"/>
    <x v="5"/>
    <n v="4480.6499999999996"/>
    <x v="3"/>
    <x v="1"/>
    <n v="0"/>
    <s v="REG100651"/>
    <s v="Cust 2446"/>
    <n v="11.38"/>
    <d v="2023-01-01T00:00:00"/>
    <d v="2023-01-08T00:00:00"/>
    <x v="0"/>
  </r>
  <r>
    <x v="479"/>
    <x v="4"/>
    <x v="5"/>
    <n v="15"/>
    <n v="52.37"/>
    <x v="1"/>
    <x v="1"/>
    <x v="2"/>
    <x v="4"/>
    <n v="667.71749999999997"/>
    <x v="0"/>
    <x v="1"/>
    <n v="0"/>
    <s v="REG100652"/>
    <s v="Cust 4150"/>
    <n v="8.93"/>
    <d v="2023-12-30T00:00:00"/>
    <d v="2024-01-02T00:00:00"/>
    <x v="4"/>
  </r>
  <r>
    <x v="229"/>
    <x v="3"/>
    <x v="1"/>
    <n v="6"/>
    <n v="104.19"/>
    <x v="2"/>
    <x v="1"/>
    <x v="1"/>
    <x v="4"/>
    <n v="562.62599999999998"/>
    <x v="0"/>
    <x v="3"/>
    <n v="0"/>
    <s v="REG100653"/>
    <s v="Cust 3569"/>
    <n v="8.6199999999999992"/>
    <d v="2023-01-22T00:00:00"/>
    <d v="2023-01-24T00:00:00"/>
    <x v="3"/>
  </r>
  <r>
    <x v="480"/>
    <x v="1"/>
    <x v="0"/>
    <n v="8"/>
    <n v="493.09"/>
    <x v="1"/>
    <x v="1"/>
    <x v="3"/>
    <x v="4"/>
    <n v="3747.483999999999"/>
    <x v="2"/>
    <x v="0"/>
    <n v="0"/>
    <s v="REG100654"/>
    <s v="Cust 1023"/>
    <n v="11.49"/>
    <d v="2024-07-27T00:00:00"/>
    <d v="2024-08-05T00:00:00"/>
    <x v="1"/>
  </r>
  <r>
    <x v="481"/>
    <x v="1"/>
    <x v="3"/>
    <n v="6"/>
    <n v="291.58"/>
    <x v="0"/>
    <x v="0"/>
    <x v="0"/>
    <x v="2"/>
    <n v="1749.48"/>
    <x v="2"/>
    <x v="0"/>
    <n v="0"/>
    <s v="REG100655"/>
    <s v="Cust 3748"/>
    <n v="30.25"/>
    <d v="2024-01-15T00:00:00"/>
    <d v="2024-01-17T00:00:00"/>
    <x v="1"/>
  </r>
  <r>
    <x v="482"/>
    <x v="4"/>
    <x v="5"/>
    <n v="1"/>
    <n v="103.13"/>
    <x v="0"/>
    <x v="0"/>
    <x v="0"/>
    <x v="5"/>
    <n v="103.13"/>
    <x v="0"/>
    <x v="0"/>
    <n v="0"/>
    <s v="REG100656"/>
    <s v="Cust 4798"/>
    <n v="42.38"/>
    <d v="2024-01-04T00:00:00"/>
    <d v="2024-01-14T00:00:00"/>
    <x v="4"/>
  </r>
  <r>
    <x v="483"/>
    <x v="0"/>
    <x v="4"/>
    <n v="1"/>
    <n v="541.9"/>
    <x v="1"/>
    <x v="1"/>
    <x v="3"/>
    <x v="0"/>
    <n v="514.80499999999995"/>
    <x v="4"/>
    <x v="2"/>
    <n v="0"/>
    <s v="REG100657"/>
    <s v="Cust 8305"/>
    <n v="40.35"/>
    <d v="2023-02-09T00:00:00"/>
    <d v="2023-02-19T00:00:00"/>
    <x v="0"/>
  </r>
  <r>
    <x v="249"/>
    <x v="2"/>
    <x v="1"/>
    <n v="11"/>
    <n v="303.08999999999997"/>
    <x v="3"/>
    <x v="0"/>
    <x v="1"/>
    <x v="4"/>
    <n v="3000.5909999999999"/>
    <x v="0"/>
    <x v="1"/>
    <n v="0"/>
    <s v="REG100658"/>
    <s v="Cust 3864"/>
    <n v="21.88"/>
    <d v="2024-06-20T00:00:00"/>
    <d v="2024-06-24T00:00:00"/>
    <x v="2"/>
  </r>
  <r>
    <x v="220"/>
    <x v="3"/>
    <x v="2"/>
    <n v="11"/>
    <n v="61.81"/>
    <x v="2"/>
    <x v="1"/>
    <x v="3"/>
    <x v="5"/>
    <n v="645.91450000000009"/>
    <x v="1"/>
    <x v="2"/>
    <n v="0"/>
    <s v="REG100659"/>
    <s v="Cust 3459"/>
    <n v="47.95"/>
    <d v="2023-02-21T00:00:00"/>
    <d v="2023-03-03T00:00:00"/>
    <x v="3"/>
  </r>
  <r>
    <x v="484"/>
    <x v="3"/>
    <x v="2"/>
    <n v="8"/>
    <n v="355.15"/>
    <x v="0"/>
    <x v="1"/>
    <x v="1"/>
    <x v="3"/>
    <n v="2557.08"/>
    <x v="0"/>
    <x v="3"/>
    <n v="1"/>
    <s v="REG100660"/>
    <s v="Cust 1187"/>
    <n v="38.590000000000003"/>
    <d v="2023-08-16T00:00:00"/>
    <d v="2023-08-24T00:00:00"/>
    <x v="3"/>
  </r>
  <r>
    <x v="257"/>
    <x v="4"/>
    <x v="4"/>
    <n v="11"/>
    <n v="119.84"/>
    <x v="3"/>
    <x v="0"/>
    <x v="1"/>
    <x v="0"/>
    <n v="1186.4159999999999"/>
    <x v="0"/>
    <x v="1"/>
    <n v="0"/>
    <s v="REG100661"/>
    <s v="Cust 7509"/>
    <n v="16.64"/>
    <d v="2023-11-03T00:00:00"/>
    <d v="2023-11-11T00:00:00"/>
    <x v="4"/>
  </r>
  <r>
    <x v="478"/>
    <x v="1"/>
    <x v="0"/>
    <n v="16"/>
    <n v="318.32"/>
    <x v="2"/>
    <x v="0"/>
    <x v="3"/>
    <x v="4"/>
    <n v="4838.4639999999999"/>
    <x v="2"/>
    <x v="0"/>
    <n v="0"/>
    <s v="REG100662"/>
    <s v="Cust 1869"/>
    <n v="40.78"/>
    <d v="2024-04-26T00:00:00"/>
    <d v="2024-05-01T00:00:00"/>
    <x v="1"/>
  </r>
  <r>
    <x v="485"/>
    <x v="1"/>
    <x v="2"/>
    <n v="9"/>
    <n v="446.49"/>
    <x v="3"/>
    <x v="0"/>
    <x v="2"/>
    <x v="3"/>
    <n v="3415.6484999999998"/>
    <x v="4"/>
    <x v="0"/>
    <n v="0"/>
    <s v="REG100663"/>
    <s v="Cust 5943"/>
    <n v="5.77"/>
    <d v="2024-10-08T00:00:00"/>
    <d v="2024-10-17T00:00:00"/>
    <x v="1"/>
  </r>
  <r>
    <x v="7"/>
    <x v="1"/>
    <x v="2"/>
    <n v="16"/>
    <n v="258.82"/>
    <x v="3"/>
    <x v="1"/>
    <x v="1"/>
    <x v="4"/>
    <n v="3727.0079999999998"/>
    <x v="0"/>
    <x v="1"/>
    <n v="0"/>
    <s v="REG100664"/>
    <s v="Cust 8364"/>
    <n v="46.93"/>
    <d v="2023-01-09T00:00:00"/>
    <d v="2023-01-17T00:00:00"/>
    <x v="1"/>
  </r>
  <r>
    <x v="486"/>
    <x v="2"/>
    <x v="6"/>
    <n v="9"/>
    <n v="272.68"/>
    <x v="3"/>
    <x v="0"/>
    <x v="3"/>
    <x v="0"/>
    <n v="2331.4140000000002"/>
    <x v="0"/>
    <x v="1"/>
    <n v="0"/>
    <s v="REG100665"/>
    <s v="Cust 8401"/>
    <n v="16.43"/>
    <d v="2023-12-25T00:00:00"/>
    <d v="2024-01-02T00:00:00"/>
    <x v="2"/>
  </r>
  <r>
    <x v="487"/>
    <x v="3"/>
    <x v="4"/>
    <n v="12"/>
    <n v="438.77"/>
    <x v="2"/>
    <x v="1"/>
    <x v="0"/>
    <x v="0"/>
    <n v="5265.24"/>
    <x v="3"/>
    <x v="1"/>
    <n v="0"/>
    <s v="REG100666"/>
    <s v="Cust 4047"/>
    <n v="9.31"/>
    <d v="2024-05-11T00:00:00"/>
    <d v="2024-05-20T00:00:00"/>
    <x v="3"/>
  </r>
  <r>
    <x v="488"/>
    <x v="4"/>
    <x v="5"/>
    <n v="18"/>
    <n v="267.63"/>
    <x v="0"/>
    <x v="1"/>
    <x v="0"/>
    <x v="3"/>
    <n v="4817.34"/>
    <x v="1"/>
    <x v="1"/>
    <n v="0"/>
    <s v="REG100667"/>
    <s v="Cust 6019"/>
    <n v="44.48"/>
    <d v="2023-11-23T00:00:00"/>
    <d v="2023-11-26T00:00:00"/>
    <x v="4"/>
  </r>
  <r>
    <x v="489"/>
    <x v="3"/>
    <x v="6"/>
    <n v="6"/>
    <n v="115.94"/>
    <x v="1"/>
    <x v="0"/>
    <x v="3"/>
    <x v="3"/>
    <n v="660.85799999999995"/>
    <x v="2"/>
    <x v="1"/>
    <n v="0"/>
    <s v="REG100668"/>
    <s v="Cust 8750"/>
    <n v="23.91"/>
    <d v="2023-12-10T00:00:00"/>
    <d v="2023-12-12T00:00:00"/>
    <x v="3"/>
  </r>
  <r>
    <x v="490"/>
    <x v="2"/>
    <x v="6"/>
    <n v="19"/>
    <n v="275.77999999999997"/>
    <x v="2"/>
    <x v="1"/>
    <x v="0"/>
    <x v="2"/>
    <n v="5239.82"/>
    <x v="4"/>
    <x v="1"/>
    <n v="0"/>
    <s v="REG100669"/>
    <s v="Cust 5782"/>
    <n v="47"/>
    <d v="2024-02-03T00:00:00"/>
    <d v="2024-02-05T00:00:00"/>
    <x v="2"/>
  </r>
  <r>
    <x v="224"/>
    <x v="3"/>
    <x v="3"/>
    <n v="12"/>
    <n v="255.93"/>
    <x v="0"/>
    <x v="1"/>
    <x v="0"/>
    <x v="0"/>
    <n v="3071.16"/>
    <x v="4"/>
    <x v="2"/>
    <n v="0"/>
    <s v="REG100670"/>
    <s v="Cust 4090"/>
    <n v="23.74"/>
    <d v="2024-11-24T00:00:00"/>
    <d v="2024-12-04T00:00:00"/>
    <x v="3"/>
  </r>
  <r>
    <x v="491"/>
    <x v="4"/>
    <x v="1"/>
    <n v="1"/>
    <n v="381.21"/>
    <x v="3"/>
    <x v="0"/>
    <x v="2"/>
    <x v="5"/>
    <n v="324.02850000000001"/>
    <x v="0"/>
    <x v="3"/>
    <n v="0"/>
    <s v="REG100671"/>
    <s v="Cust 4730"/>
    <n v="9.9499999999999993"/>
    <d v="2024-03-06T00:00:00"/>
    <d v="2024-03-11T00:00:00"/>
    <x v="4"/>
  </r>
  <r>
    <x v="492"/>
    <x v="1"/>
    <x v="2"/>
    <n v="5"/>
    <n v="38.229999999999997"/>
    <x v="2"/>
    <x v="0"/>
    <x v="2"/>
    <x v="5"/>
    <n v="162.47749999999999"/>
    <x v="3"/>
    <x v="3"/>
    <n v="0"/>
    <s v="REG100672"/>
    <s v="Cust 5648"/>
    <n v="21.06"/>
    <d v="2025-02-01T00:00:00"/>
    <d v="2025-02-11T00:00:00"/>
    <x v="1"/>
  </r>
  <r>
    <x v="44"/>
    <x v="3"/>
    <x v="0"/>
    <n v="7"/>
    <n v="225.86"/>
    <x v="0"/>
    <x v="0"/>
    <x v="0"/>
    <x v="3"/>
    <n v="1581.02"/>
    <x v="3"/>
    <x v="3"/>
    <n v="0"/>
    <s v="REG100673"/>
    <s v="Cust 8933"/>
    <n v="24.48"/>
    <d v="2024-06-04T00:00:00"/>
    <d v="2024-06-09T00:00:00"/>
    <x v="3"/>
  </r>
  <r>
    <x v="23"/>
    <x v="3"/>
    <x v="2"/>
    <n v="8"/>
    <n v="548.02"/>
    <x v="3"/>
    <x v="1"/>
    <x v="3"/>
    <x v="0"/>
    <n v="4164.9519999999993"/>
    <x v="0"/>
    <x v="3"/>
    <n v="0"/>
    <s v="REG100674"/>
    <s v="Cust 9280"/>
    <n v="33.4"/>
    <d v="2023-08-06T00:00:00"/>
    <d v="2023-08-13T00:00:00"/>
    <x v="3"/>
  </r>
  <r>
    <x v="43"/>
    <x v="4"/>
    <x v="6"/>
    <n v="18"/>
    <n v="485.3"/>
    <x v="3"/>
    <x v="0"/>
    <x v="3"/>
    <x v="5"/>
    <n v="8298.6299999999992"/>
    <x v="3"/>
    <x v="0"/>
    <n v="1"/>
    <s v="REG100675"/>
    <s v="Cust 8696"/>
    <n v="47.77"/>
    <d v="2023-06-30T00:00:00"/>
    <d v="2023-07-05T00:00:00"/>
    <x v="4"/>
  </r>
  <r>
    <x v="493"/>
    <x v="4"/>
    <x v="6"/>
    <n v="19"/>
    <n v="414.31"/>
    <x v="1"/>
    <x v="1"/>
    <x v="1"/>
    <x v="0"/>
    <n v="7084.701"/>
    <x v="2"/>
    <x v="1"/>
    <n v="0"/>
    <s v="REG100676"/>
    <s v="Cust 1944"/>
    <n v="17.43"/>
    <d v="2023-02-15T00:00:00"/>
    <d v="2023-02-19T00:00:00"/>
    <x v="4"/>
  </r>
  <r>
    <x v="145"/>
    <x v="2"/>
    <x v="6"/>
    <n v="8"/>
    <n v="50.72"/>
    <x v="1"/>
    <x v="0"/>
    <x v="3"/>
    <x v="3"/>
    <n v="385.47199999999998"/>
    <x v="3"/>
    <x v="3"/>
    <n v="0"/>
    <s v="REG100677"/>
    <s v="Cust 7780"/>
    <n v="12.35"/>
    <d v="2024-01-23T00:00:00"/>
    <d v="2024-01-30T00:00:00"/>
    <x v="2"/>
  </r>
  <r>
    <x v="335"/>
    <x v="2"/>
    <x v="5"/>
    <n v="17"/>
    <n v="83.26"/>
    <x v="1"/>
    <x v="0"/>
    <x v="2"/>
    <x v="0"/>
    <n v="1203.107"/>
    <x v="4"/>
    <x v="1"/>
    <n v="0"/>
    <s v="REG100678"/>
    <s v="Cust 8055"/>
    <n v="42.68"/>
    <d v="2024-10-31T00:00:00"/>
    <d v="2024-11-06T00:00:00"/>
    <x v="2"/>
  </r>
  <r>
    <x v="373"/>
    <x v="3"/>
    <x v="2"/>
    <n v="20"/>
    <n v="51.85"/>
    <x v="2"/>
    <x v="0"/>
    <x v="2"/>
    <x v="3"/>
    <n v="881.44999999999993"/>
    <x v="4"/>
    <x v="3"/>
    <n v="0"/>
    <s v="REG100679"/>
    <s v="Cust 4707"/>
    <n v="33.159999999999997"/>
    <d v="2023-12-19T00:00:00"/>
    <d v="2023-12-21T00:00:00"/>
    <x v="3"/>
  </r>
  <r>
    <x v="250"/>
    <x v="1"/>
    <x v="5"/>
    <n v="12"/>
    <n v="122.51"/>
    <x v="0"/>
    <x v="0"/>
    <x v="3"/>
    <x v="4"/>
    <n v="1396.614"/>
    <x v="1"/>
    <x v="2"/>
    <n v="0"/>
    <s v="REG100680"/>
    <s v="Cust 8088"/>
    <n v="43.47"/>
    <d v="2023-07-04T00:00:00"/>
    <d v="2023-07-06T00:00:00"/>
    <x v="1"/>
  </r>
  <r>
    <x v="494"/>
    <x v="0"/>
    <x v="0"/>
    <n v="11"/>
    <n v="222.13"/>
    <x v="3"/>
    <x v="0"/>
    <x v="2"/>
    <x v="0"/>
    <n v="2076.9155000000001"/>
    <x v="4"/>
    <x v="2"/>
    <n v="1"/>
    <s v="REG100681"/>
    <s v="Cust 7806"/>
    <n v="9.8800000000000008"/>
    <d v="2024-05-16T00:00:00"/>
    <d v="2024-05-18T00:00:00"/>
    <x v="0"/>
  </r>
  <r>
    <x v="292"/>
    <x v="2"/>
    <x v="4"/>
    <n v="8"/>
    <n v="204.84"/>
    <x v="2"/>
    <x v="1"/>
    <x v="0"/>
    <x v="5"/>
    <n v="1638.72"/>
    <x v="4"/>
    <x v="3"/>
    <n v="0"/>
    <s v="REG100682"/>
    <s v="Cust 7033"/>
    <n v="43.4"/>
    <d v="2023-09-16T00:00:00"/>
    <d v="2023-09-21T00:00:00"/>
    <x v="2"/>
  </r>
  <r>
    <x v="196"/>
    <x v="0"/>
    <x v="3"/>
    <n v="3"/>
    <n v="536.97"/>
    <x v="2"/>
    <x v="0"/>
    <x v="0"/>
    <x v="3"/>
    <n v="1610.91"/>
    <x v="3"/>
    <x v="3"/>
    <n v="0"/>
    <s v="REG100683"/>
    <s v="Cust 8372"/>
    <n v="13.86"/>
    <d v="2024-11-22T00:00:00"/>
    <d v="2024-12-01T00:00:00"/>
    <x v="0"/>
  </r>
  <r>
    <x v="495"/>
    <x v="4"/>
    <x v="3"/>
    <n v="15"/>
    <n v="553.01"/>
    <x v="1"/>
    <x v="1"/>
    <x v="1"/>
    <x v="3"/>
    <n v="7465.6350000000002"/>
    <x v="2"/>
    <x v="1"/>
    <n v="1"/>
    <s v="REG100684"/>
    <s v="Cust 1935"/>
    <n v="23.3"/>
    <d v="2024-04-13T00:00:00"/>
    <d v="2024-04-21T00:00:00"/>
    <x v="4"/>
  </r>
  <r>
    <x v="261"/>
    <x v="1"/>
    <x v="3"/>
    <n v="20"/>
    <n v="284.82"/>
    <x v="3"/>
    <x v="1"/>
    <x v="1"/>
    <x v="1"/>
    <n v="5126.76"/>
    <x v="2"/>
    <x v="2"/>
    <n v="1"/>
    <s v="REG100685"/>
    <s v="Cust 8417"/>
    <n v="27"/>
    <d v="2024-06-30T00:00:00"/>
    <d v="2024-07-06T00:00:00"/>
    <x v="1"/>
  </r>
  <r>
    <x v="496"/>
    <x v="2"/>
    <x v="2"/>
    <n v="18"/>
    <n v="523.87"/>
    <x v="2"/>
    <x v="1"/>
    <x v="2"/>
    <x v="4"/>
    <n v="8015.2109999999993"/>
    <x v="1"/>
    <x v="2"/>
    <n v="0"/>
    <s v="REG100686"/>
    <s v="Cust 3370"/>
    <n v="42.63"/>
    <d v="2024-08-29T00:00:00"/>
    <d v="2024-09-02T00:00:00"/>
    <x v="2"/>
  </r>
  <r>
    <x v="442"/>
    <x v="3"/>
    <x v="2"/>
    <n v="3"/>
    <n v="232.13"/>
    <x v="0"/>
    <x v="1"/>
    <x v="1"/>
    <x v="4"/>
    <n v="626.75099999999998"/>
    <x v="4"/>
    <x v="3"/>
    <n v="1"/>
    <s v="REG100687"/>
    <s v="Cust 3664"/>
    <n v="46.65"/>
    <d v="2023-12-26T00:00:00"/>
    <d v="2023-12-31T00:00:00"/>
    <x v="3"/>
  </r>
  <r>
    <x v="258"/>
    <x v="2"/>
    <x v="1"/>
    <n v="17"/>
    <n v="179.32"/>
    <x v="1"/>
    <x v="1"/>
    <x v="1"/>
    <x v="5"/>
    <n v="2743.596"/>
    <x v="3"/>
    <x v="1"/>
    <n v="1"/>
    <s v="REG100688"/>
    <s v="Cust 5760"/>
    <n v="26.74"/>
    <d v="2025-01-30T00:00:00"/>
    <d v="2025-02-06T00:00:00"/>
    <x v="2"/>
  </r>
  <r>
    <x v="497"/>
    <x v="1"/>
    <x v="3"/>
    <n v="1"/>
    <n v="396.35"/>
    <x v="0"/>
    <x v="1"/>
    <x v="2"/>
    <x v="2"/>
    <n v="336.89749999999998"/>
    <x v="3"/>
    <x v="1"/>
    <n v="1"/>
    <s v="REG100689"/>
    <s v="Cust 3037"/>
    <n v="19.89"/>
    <d v="2023-05-17T00:00:00"/>
    <d v="2023-05-25T00:00:00"/>
    <x v="1"/>
  </r>
  <r>
    <x v="498"/>
    <x v="3"/>
    <x v="2"/>
    <n v="17"/>
    <n v="108.48"/>
    <x v="1"/>
    <x v="0"/>
    <x v="1"/>
    <x v="3"/>
    <n v="1659.7439999999999"/>
    <x v="0"/>
    <x v="3"/>
    <n v="1"/>
    <s v="REG100690"/>
    <s v="Cust 9828"/>
    <n v="48.9"/>
    <d v="2024-01-27T00:00:00"/>
    <d v="2024-02-05T00:00:00"/>
    <x v="3"/>
  </r>
  <r>
    <x v="499"/>
    <x v="0"/>
    <x v="6"/>
    <n v="10"/>
    <n v="149.66999999999999"/>
    <x v="3"/>
    <x v="1"/>
    <x v="1"/>
    <x v="3"/>
    <n v="1347.03"/>
    <x v="4"/>
    <x v="0"/>
    <n v="1"/>
    <s v="REG100691"/>
    <s v="Cust 5297"/>
    <n v="49.67"/>
    <d v="2025-05-26T00:00:00"/>
    <d v="2025-06-02T00:00:00"/>
    <x v="0"/>
  </r>
  <r>
    <x v="31"/>
    <x v="2"/>
    <x v="1"/>
    <n v="1"/>
    <n v="506.41"/>
    <x v="3"/>
    <x v="0"/>
    <x v="0"/>
    <x v="5"/>
    <n v="506.41"/>
    <x v="4"/>
    <x v="3"/>
    <n v="0"/>
    <s v="REG100692"/>
    <s v="Cust 6785"/>
    <n v="17.899999999999999"/>
    <d v="2025-03-09T00:00:00"/>
    <d v="2025-03-17T00:00:00"/>
    <x v="2"/>
  </r>
  <r>
    <x v="193"/>
    <x v="4"/>
    <x v="5"/>
    <n v="6"/>
    <n v="345.9"/>
    <x v="0"/>
    <x v="1"/>
    <x v="2"/>
    <x v="2"/>
    <n v="1764.09"/>
    <x v="2"/>
    <x v="2"/>
    <n v="0"/>
    <s v="REG100693"/>
    <s v="Cust 1344"/>
    <n v="30.58"/>
    <d v="2024-02-22T00:00:00"/>
    <d v="2024-03-03T00:00:00"/>
    <x v="4"/>
  </r>
  <r>
    <x v="45"/>
    <x v="0"/>
    <x v="5"/>
    <n v="15"/>
    <n v="342.04"/>
    <x v="2"/>
    <x v="1"/>
    <x v="2"/>
    <x v="4"/>
    <n v="4361.01"/>
    <x v="1"/>
    <x v="2"/>
    <n v="0"/>
    <s v="REG100694"/>
    <s v="Cust 4023"/>
    <n v="44.91"/>
    <d v="2025-02-03T00:00:00"/>
    <d v="2025-02-08T00:00:00"/>
    <x v="0"/>
  </r>
  <r>
    <x v="46"/>
    <x v="3"/>
    <x v="6"/>
    <n v="11"/>
    <n v="404.88"/>
    <x v="1"/>
    <x v="0"/>
    <x v="3"/>
    <x v="1"/>
    <n v="4230.9960000000001"/>
    <x v="1"/>
    <x v="1"/>
    <n v="0"/>
    <s v="REG100695"/>
    <s v="Cust 3721"/>
    <n v="18.920000000000002"/>
    <d v="2024-01-09T00:00:00"/>
    <d v="2024-01-16T00:00:00"/>
    <x v="3"/>
  </r>
  <r>
    <x v="500"/>
    <x v="2"/>
    <x v="2"/>
    <n v="9"/>
    <n v="292.45999999999998"/>
    <x v="1"/>
    <x v="0"/>
    <x v="3"/>
    <x v="3"/>
    <n v="2500.5329999999999"/>
    <x v="2"/>
    <x v="3"/>
    <n v="0"/>
    <s v="REG100696"/>
    <s v="Cust 1486"/>
    <n v="34.26"/>
    <d v="2025-05-05T00:00:00"/>
    <d v="2025-05-14T00:00:00"/>
    <x v="2"/>
  </r>
  <r>
    <x v="417"/>
    <x v="3"/>
    <x v="2"/>
    <n v="5"/>
    <n v="547.53"/>
    <x v="1"/>
    <x v="1"/>
    <x v="1"/>
    <x v="0"/>
    <n v="2463.8850000000002"/>
    <x v="3"/>
    <x v="3"/>
    <n v="0"/>
    <s v="REG100697"/>
    <s v="Cust 3958"/>
    <n v="24.68"/>
    <d v="2023-04-17T00:00:00"/>
    <d v="2023-04-21T00:00:00"/>
    <x v="3"/>
  </r>
  <r>
    <x v="40"/>
    <x v="1"/>
    <x v="2"/>
    <n v="12"/>
    <n v="348.88"/>
    <x v="2"/>
    <x v="0"/>
    <x v="0"/>
    <x v="1"/>
    <n v="4186.5599999999986"/>
    <x v="2"/>
    <x v="1"/>
    <n v="0"/>
    <s v="REG100698"/>
    <s v="Cust 6914"/>
    <n v="31.28"/>
    <d v="2024-06-16T00:00:00"/>
    <d v="2024-06-21T00:00:00"/>
    <x v="1"/>
  </r>
  <r>
    <x v="501"/>
    <x v="1"/>
    <x v="1"/>
    <n v="15"/>
    <n v="486.03"/>
    <x v="2"/>
    <x v="0"/>
    <x v="0"/>
    <x v="1"/>
    <n v="7290.45"/>
    <x v="3"/>
    <x v="2"/>
    <n v="0"/>
    <s v="REG100699"/>
    <s v="Cust 3287"/>
    <n v="14.9"/>
    <d v="2024-11-01T00:00:00"/>
    <d v="2024-11-04T00:00:00"/>
    <x v="1"/>
  </r>
  <r>
    <x v="439"/>
    <x v="0"/>
    <x v="5"/>
    <n v="14"/>
    <n v="159.09"/>
    <x v="2"/>
    <x v="1"/>
    <x v="2"/>
    <x v="5"/>
    <n v="1893.171"/>
    <x v="3"/>
    <x v="0"/>
    <n v="0"/>
    <s v="REG100700"/>
    <s v="Cust 9072"/>
    <n v="27.05"/>
    <d v="2025-02-07T00:00:00"/>
    <d v="2025-02-10T00:00:00"/>
    <x v="0"/>
  </r>
  <r>
    <x v="224"/>
    <x v="1"/>
    <x v="4"/>
    <n v="12"/>
    <n v="173.79"/>
    <x v="3"/>
    <x v="1"/>
    <x v="2"/>
    <x v="0"/>
    <n v="1772.6579999999999"/>
    <x v="2"/>
    <x v="3"/>
    <n v="0"/>
    <s v="REG100701"/>
    <s v="Cust 3098"/>
    <n v="21.23"/>
    <d v="2024-11-24T00:00:00"/>
    <d v="2024-12-04T00:00:00"/>
    <x v="1"/>
  </r>
  <r>
    <x v="502"/>
    <x v="3"/>
    <x v="4"/>
    <n v="13"/>
    <n v="439.75"/>
    <x v="1"/>
    <x v="0"/>
    <x v="0"/>
    <x v="2"/>
    <n v="5716.75"/>
    <x v="0"/>
    <x v="3"/>
    <n v="1"/>
    <s v="REG100702"/>
    <s v="Cust 7942"/>
    <n v="12.23"/>
    <d v="2024-04-23T00:00:00"/>
    <d v="2024-05-02T00:00:00"/>
    <x v="3"/>
  </r>
  <r>
    <x v="503"/>
    <x v="0"/>
    <x v="0"/>
    <n v="9"/>
    <n v="265.43"/>
    <x v="3"/>
    <x v="0"/>
    <x v="3"/>
    <x v="0"/>
    <n v="2269.4265"/>
    <x v="2"/>
    <x v="0"/>
    <n v="0"/>
    <s v="REG100703"/>
    <s v="Cust 4307"/>
    <n v="40.18"/>
    <d v="2024-06-24T00:00:00"/>
    <d v="2024-06-27T00:00:00"/>
    <x v="0"/>
  </r>
  <r>
    <x v="216"/>
    <x v="4"/>
    <x v="4"/>
    <n v="12"/>
    <n v="290.27999999999997"/>
    <x v="0"/>
    <x v="1"/>
    <x v="1"/>
    <x v="3"/>
    <n v="3135.0239999999999"/>
    <x v="4"/>
    <x v="0"/>
    <n v="1"/>
    <s v="REG100704"/>
    <s v="Cust 4618"/>
    <n v="5.55"/>
    <d v="2025-06-01T00:00:00"/>
    <d v="2025-06-07T00:00:00"/>
    <x v="4"/>
  </r>
  <r>
    <x v="504"/>
    <x v="4"/>
    <x v="5"/>
    <n v="6"/>
    <n v="88.7"/>
    <x v="0"/>
    <x v="0"/>
    <x v="0"/>
    <x v="3"/>
    <n v="532.20000000000005"/>
    <x v="1"/>
    <x v="3"/>
    <n v="0"/>
    <s v="REG100705"/>
    <s v="Cust 5322"/>
    <n v="16.98"/>
    <d v="2023-03-12T00:00:00"/>
    <d v="2023-03-14T00:00:00"/>
    <x v="4"/>
  </r>
  <r>
    <x v="207"/>
    <x v="3"/>
    <x v="2"/>
    <n v="2"/>
    <n v="239.69"/>
    <x v="2"/>
    <x v="1"/>
    <x v="0"/>
    <x v="4"/>
    <n v="479.38"/>
    <x v="2"/>
    <x v="2"/>
    <n v="0"/>
    <s v="REG100706"/>
    <s v="Cust 9873"/>
    <n v="28.96"/>
    <d v="2024-11-11T00:00:00"/>
    <d v="2024-11-19T00:00:00"/>
    <x v="3"/>
  </r>
  <r>
    <x v="386"/>
    <x v="3"/>
    <x v="5"/>
    <n v="8"/>
    <n v="39.79"/>
    <x v="2"/>
    <x v="1"/>
    <x v="1"/>
    <x v="5"/>
    <n v="286.488"/>
    <x v="2"/>
    <x v="1"/>
    <n v="0"/>
    <s v="REG100707"/>
    <s v="Cust 3652"/>
    <n v="46.16"/>
    <d v="2024-10-17T00:00:00"/>
    <d v="2024-10-26T00:00:00"/>
    <x v="3"/>
  </r>
  <r>
    <x v="2"/>
    <x v="0"/>
    <x v="6"/>
    <n v="18"/>
    <n v="206.8"/>
    <x v="1"/>
    <x v="1"/>
    <x v="3"/>
    <x v="2"/>
    <n v="3536.28"/>
    <x v="3"/>
    <x v="0"/>
    <n v="1"/>
    <s v="REG100708"/>
    <s v="Cust 5569"/>
    <n v="39.25"/>
    <d v="2023-05-10T00:00:00"/>
    <d v="2023-05-13T00:00:00"/>
    <x v="0"/>
  </r>
  <r>
    <x v="237"/>
    <x v="0"/>
    <x v="0"/>
    <n v="18"/>
    <n v="175.81"/>
    <x v="2"/>
    <x v="1"/>
    <x v="0"/>
    <x v="0"/>
    <n v="3164.58"/>
    <x v="1"/>
    <x v="2"/>
    <n v="1"/>
    <s v="REG100709"/>
    <s v="Cust 5369"/>
    <n v="26.97"/>
    <d v="2023-07-29T00:00:00"/>
    <d v="2023-08-07T00:00:00"/>
    <x v="0"/>
  </r>
  <r>
    <x v="222"/>
    <x v="3"/>
    <x v="1"/>
    <n v="14"/>
    <n v="547.36"/>
    <x v="2"/>
    <x v="1"/>
    <x v="2"/>
    <x v="4"/>
    <n v="6513.5839999999998"/>
    <x v="0"/>
    <x v="0"/>
    <n v="0"/>
    <s v="REG100710"/>
    <s v="Cust 9044"/>
    <n v="25.24"/>
    <d v="2023-08-26T00:00:00"/>
    <d v="2023-08-29T00:00:00"/>
    <x v="3"/>
  </r>
  <r>
    <x v="505"/>
    <x v="0"/>
    <x v="0"/>
    <n v="19"/>
    <n v="374.8"/>
    <x v="1"/>
    <x v="1"/>
    <x v="3"/>
    <x v="3"/>
    <n v="6765.1399999999994"/>
    <x v="0"/>
    <x v="2"/>
    <n v="0"/>
    <s v="REG100711"/>
    <s v="Cust 1887"/>
    <n v="41.67"/>
    <d v="2023-12-28T00:00:00"/>
    <d v="2024-01-03T00:00:00"/>
    <x v="0"/>
  </r>
  <r>
    <x v="506"/>
    <x v="2"/>
    <x v="5"/>
    <n v="9"/>
    <n v="507.74"/>
    <x v="3"/>
    <x v="1"/>
    <x v="2"/>
    <x v="5"/>
    <n v="3884.2109999999998"/>
    <x v="4"/>
    <x v="0"/>
    <n v="1"/>
    <s v="REG100712"/>
    <s v="Cust 1559"/>
    <n v="22.08"/>
    <d v="2025-03-10T00:00:00"/>
    <d v="2025-03-17T00:00:00"/>
    <x v="2"/>
  </r>
  <r>
    <x v="507"/>
    <x v="3"/>
    <x v="2"/>
    <n v="1"/>
    <n v="223.56"/>
    <x v="0"/>
    <x v="0"/>
    <x v="2"/>
    <x v="5"/>
    <n v="190.02600000000001"/>
    <x v="2"/>
    <x v="2"/>
    <n v="0"/>
    <s v="REG100713"/>
    <s v="Cust 1722"/>
    <n v="37.840000000000003"/>
    <d v="2023-09-09T00:00:00"/>
    <d v="2023-09-14T00:00:00"/>
    <x v="3"/>
  </r>
  <r>
    <x v="424"/>
    <x v="2"/>
    <x v="5"/>
    <n v="2"/>
    <n v="294.27"/>
    <x v="2"/>
    <x v="1"/>
    <x v="1"/>
    <x v="4"/>
    <n v="529.68600000000004"/>
    <x v="1"/>
    <x v="3"/>
    <n v="0"/>
    <s v="REG100714"/>
    <s v="Cust 9029"/>
    <n v="9.0500000000000007"/>
    <d v="2023-05-28T00:00:00"/>
    <d v="2023-06-01T00:00:00"/>
    <x v="2"/>
  </r>
  <r>
    <x v="83"/>
    <x v="4"/>
    <x v="4"/>
    <n v="1"/>
    <n v="319.49"/>
    <x v="2"/>
    <x v="0"/>
    <x v="2"/>
    <x v="4"/>
    <n v="271.56650000000002"/>
    <x v="0"/>
    <x v="0"/>
    <n v="1"/>
    <s v="REG100715"/>
    <s v="Cust 9555"/>
    <n v="18.100000000000001"/>
    <d v="2025-05-21T00:00:00"/>
    <d v="2025-05-31T00:00:00"/>
    <x v="4"/>
  </r>
  <r>
    <x v="508"/>
    <x v="0"/>
    <x v="0"/>
    <n v="14"/>
    <n v="243.96"/>
    <x v="3"/>
    <x v="0"/>
    <x v="3"/>
    <x v="4"/>
    <n v="3244.6680000000001"/>
    <x v="0"/>
    <x v="3"/>
    <n v="1"/>
    <s v="REG100716"/>
    <s v="Cust 2484"/>
    <n v="13.24"/>
    <d v="2023-09-30T00:00:00"/>
    <d v="2023-10-04T00:00:00"/>
    <x v="0"/>
  </r>
  <r>
    <x v="485"/>
    <x v="1"/>
    <x v="0"/>
    <n v="6"/>
    <n v="48.48"/>
    <x v="3"/>
    <x v="1"/>
    <x v="1"/>
    <x v="4"/>
    <n v="261.79199999999997"/>
    <x v="0"/>
    <x v="3"/>
    <n v="0"/>
    <s v="REG100717"/>
    <s v="Cust 4763"/>
    <n v="6.11"/>
    <d v="2024-10-08T00:00:00"/>
    <d v="2024-10-13T00:00:00"/>
    <x v="1"/>
  </r>
  <r>
    <x v="271"/>
    <x v="0"/>
    <x v="0"/>
    <n v="20"/>
    <n v="87.47"/>
    <x v="0"/>
    <x v="1"/>
    <x v="0"/>
    <x v="3"/>
    <n v="1749.4"/>
    <x v="0"/>
    <x v="2"/>
    <n v="0"/>
    <s v="REG100718"/>
    <s v="Cust 5016"/>
    <n v="48.48"/>
    <d v="2023-04-14T00:00:00"/>
    <d v="2023-04-23T00:00:00"/>
    <x v="0"/>
  </r>
  <r>
    <x v="509"/>
    <x v="1"/>
    <x v="4"/>
    <n v="17"/>
    <n v="465.6"/>
    <x v="2"/>
    <x v="1"/>
    <x v="1"/>
    <x v="5"/>
    <n v="7123.6800000000012"/>
    <x v="3"/>
    <x v="1"/>
    <n v="0"/>
    <s v="REG100719"/>
    <s v="Cust 5528"/>
    <n v="7.76"/>
    <d v="2023-03-05T00:00:00"/>
    <d v="2023-03-10T00:00:00"/>
    <x v="1"/>
  </r>
  <r>
    <x v="414"/>
    <x v="2"/>
    <x v="2"/>
    <n v="17"/>
    <n v="279.38"/>
    <x v="0"/>
    <x v="0"/>
    <x v="3"/>
    <x v="2"/>
    <n v="4511.9870000000001"/>
    <x v="2"/>
    <x v="2"/>
    <n v="0"/>
    <s v="REG100720"/>
    <s v="Cust 6922"/>
    <n v="30.3"/>
    <d v="2024-07-17T00:00:00"/>
    <d v="2024-07-20T00:00:00"/>
    <x v="2"/>
  </r>
  <r>
    <x v="510"/>
    <x v="2"/>
    <x v="5"/>
    <n v="16"/>
    <n v="427.68"/>
    <x v="1"/>
    <x v="1"/>
    <x v="1"/>
    <x v="3"/>
    <n v="6158.5920000000006"/>
    <x v="3"/>
    <x v="3"/>
    <n v="0"/>
    <s v="REG100721"/>
    <s v="Cust 4807"/>
    <n v="18.72"/>
    <d v="2024-05-20T00:00:00"/>
    <d v="2024-05-29T00:00:00"/>
    <x v="2"/>
  </r>
  <r>
    <x v="276"/>
    <x v="2"/>
    <x v="0"/>
    <n v="15"/>
    <n v="281.73"/>
    <x v="0"/>
    <x v="0"/>
    <x v="1"/>
    <x v="5"/>
    <n v="3803.3550000000009"/>
    <x v="2"/>
    <x v="2"/>
    <n v="0"/>
    <s v="REG100722"/>
    <s v="Cust 3368"/>
    <n v="36.869999999999997"/>
    <d v="2025-05-06T00:00:00"/>
    <d v="2025-05-10T00:00:00"/>
    <x v="2"/>
  </r>
  <r>
    <x v="511"/>
    <x v="2"/>
    <x v="2"/>
    <n v="15"/>
    <n v="185"/>
    <x v="0"/>
    <x v="0"/>
    <x v="0"/>
    <x v="1"/>
    <n v="2775"/>
    <x v="4"/>
    <x v="0"/>
    <n v="0"/>
    <s v="REG100723"/>
    <s v="Cust 2871"/>
    <n v="29.31"/>
    <d v="2023-01-15T00:00:00"/>
    <d v="2023-01-17T00:00:00"/>
    <x v="2"/>
  </r>
  <r>
    <x v="46"/>
    <x v="3"/>
    <x v="4"/>
    <n v="19"/>
    <n v="380.82"/>
    <x v="3"/>
    <x v="0"/>
    <x v="1"/>
    <x v="4"/>
    <n v="6512.0219999999999"/>
    <x v="2"/>
    <x v="1"/>
    <n v="0"/>
    <s v="REG100724"/>
    <s v="Cust 6229"/>
    <n v="48.73"/>
    <d v="2024-01-09T00:00:00"/>
    <d v="2024-01-12T00:00:00"/>
    <x v="3"/>
  </r>
  <r>
    <x v="512"/>
    <x v="1"/>
    <x v="3"/>
    <n v="4"/>
    <n v="444.87"/>
    <x v="0"/>
    <x v="1"/>
    <x v="2"/>
    <x v="3"/>
    <n v="1512.558"/>
    <x v="0"/>
    <x v="0"/>
    <n v="0"/>
    <s v="REG100725"/>
    <s v="Cust 4560"/>
    <n v="47.14"/>
    <d v="2023-07-12T00:00:00"/>
    <d v="2023-07-21T00:00:00"/>
    <x v="1"/>
  </r>
  <r>
    <x v="513"/>
    <x v="0"/>
    <x v="3"/>
    <n v="7"/>
    <n v="590.79"/>
    <x v="0"/>
    <x v="1"/>
    <x v="3"/>
    <x v="0"/>
    <n v="3928.7534999999989"/>
    <x v="4"/>
    <x v="0"/>
    <n v="1"/>
    <s v="REG100726"/>
    <s v="Cust 7099"/>
    <n v="41.39"/>
    <d v="2025-06-21T00:00:00"/>
    <d v="2025-06-26T00:00:00"/>
    <x v="0"/>
  </r>
  <r>
    <x v="514"/>
    <x v="2"/>
    <x v="6"/>
    <n v="5"/>
    <n v="34.58"/>
    <x v="1"/>
    <x v="1"/>
    <x v="1"/>
    <x v="2"/>
    <n v="155.61000000000001"/>
    <x v="1"/>
    <x v="2"/>
    <n v="0"/>
    <s v="REG100727"/>
    <s v="Cust 6333"/>
    <n v="27.1"/>
    <d v="2024-12-29T00:00:00"/>
    <d v="2025-01-02T00:00:00"/>
    <x v="2"/>
  </r>
  <r>
    <x v="515"/>
    <x v="4"/>
    <x v="5"/>
    <n v="9"/>
    <n v="438.22"/>
    <x v="3"/>
    <x v="1"/>
    <x v="3"/>
    <x v="5"/>
    <n v="3746.7809999999999"/>
    <x v="4"/>
    <x v="3"/>
    <n v="0"/>
    <s v="REG100728"/>
    <s v="Cust 4678"/>
    <n v="22.73"/>
    <d v="2023-05-23T00:00:00"/>
    <d v="2023-05-29T00:00:00"/>
    <x v="4"/>
  </r>
  <r>
    <x v="516"/>
    <x v="3"/>
    <x v="2"/>
    <n v="5"/>
    <n v="84.91"/>
    <x v="1"/>
    <x v="1"/>
    <x v="1"/>
    <x v="3"/>
    <n v="382.09500000000003"/>
    <x v="4"/>
    <x v="0"/>
    <n v="1"/>
    <s v="REG100729"/>
    <s v="Cust 6657"/>
    <n v="29.06"/>
    <d v="2024-04-03T00:00:00"/>
    <d v="2024-04-09T00:00:00"/>
    <x v="3"/>
  </r>
  <r>
    <x v="517"/>
    <x v="0"/>
    <x v="0"/>
    <n v="7"/>
    <n v="322.11"/>
    <x v="2"/>
    <x v="0"/>
    <x v="1"/>
    <x v="4"/>
    <n v="2029.2929999999999"/>
    <x v="3"/>
    <x v="1"/>
    <n v="0"/>
    <s v="REG100730"/>
    <s v="Cust 1267"/>
    <n v="19.91"/>
    <d v="2024-01-17T00:00:00"/>
    <d v="2024-01-27T00:00:00"/>
    <x v="0"/>
  </r>
  <r>
    <x v="518"/>
    <x v="3"/>
    <x v="4"/>
    <n v="2"/>
    <n v="231.96"/>
    <x v="0"/>
    <x v="1"/>
    <x v="1"/>
    <x v="1"/>
    <n v="417.52800000000002"/>
    <x v="3"/>
    <x v="3"/>
    <n v="1"/>
    <s v="REG100731"/>
    <s v="Cust 8150"/>
    <n v="32.659999999999997"/>
    <d v="2025-04-05T00:00:00"/>
    <d v="2025-04-14T00:00:00"/>
    <x v="3"/>
  </r>
  <r>
    <x v="313"/>
    <x v="3"/>
    <x v="3"/>
    <n v="15"/>
    <n v="242.07"/>
    <x v="1"/>
    <x v="0"/>
    <x v="2"/>
    <x v="5"/>
    <n v="3086.392499999999"/>
    <x v="2"/>
    <x v="3"/>
    <n v="0"/>
    <s v="REG100732"/>
    <s v="Cust 3668"/>
    <n v="19.18"/>
    <d v="2025-04-17T00:00:00"/>
    <d v="2025-04-23T00:00:00"/>
    <x v="3"/>
  </r>
  <r>
    <x v="519"/>
    <x v="3"/>
    <x v="0"/>
    <n v="2"/>
    <n v="48.02"/>
    <x v="2"/>
    <x v="1"/>
    <x v="3"/>
    <x v="3"/>
    <n v="91.238"/>
    <x v="3"/>
    <x v="0"/>
    <n v="1"/>
    <s v="REG100733"/>
    <s v="Cust 4803"/>
    <n v="25.81"/>
    <d v="2024-10-12T00:00:00"/>
    <d v="2024-10-15T00:00:00"/>
    <x v="3"/>
  </r>
  <r>
    <x v="480"/>
    <x v="3"/>
    <x v="3"/>
    <n v="1"/>
    <n v="534.28"/>
    <x v="3"/>
    <x v="0"/>
    <x v="1"/>
    <x v="0"/>
    <n v="480.85199999999998"/>
    <x v="0"/>
    <x v="0"/>
    <n v="0"/>
    <s v="REG100734"/>
    <s v="Cust 8633"/>
    <n v="31.3"/>
    <d v="2024-07-27T00:00:00"/>
    <d v="2024-08-01T00:00:00"/>
    <x v="3"/>
  </r>
  <r>
    <x v="520"/>
    <x v="4"/>
    <x v="5"/>
    <n v="3"/>
    <n v="98.15"/>
    <x v="3"/>
    <x v="0"/>
    <x v="2"/>
    <x v="4"/>
    <n v="250.2825"/>
    <x v="3"/>
    <x v="1"/>
    <n v="0"/>
    <s v="REG100735"/>
    <s v="Cust 7235"/>
    <n v="46.37"/>
    <d v="2025-01-10T00:00:00"/>
    <d v="2025-01-18T00:00:00"/>
    <x v="4"/>
  </r>
  <r>
    <x v="245"/>
    <x v="1"/>
    <x v="3"/>
    <n v="12"/>
    <n v="61.85"/>
    <x v="3"/>
    <x v="0"/>
    <x v="3"/>
    <x v="1"/>
    <n v="705.09"/>
    <x v="2"/>
    <x v="3"/>
    <n v="1"/>
    <s v="REG100736"/>
    <s v="Cust 8992"/>
    <n v="24.34"/>
    <d v="2024-07-25T00:00:00"/>
    <d v="2024-07-31T00:00:00"/>
    <x v="1"/>
  </r>
  <r>
    <x v="521"/>
    <x v="4"/>
    <x v="5"/>
    <n v="6"/>
    <n v="268.33999999999997"/>
    <x v="1"/>
    <x v="0"/>
    <x v="1"/>
    <x v="4"/>
    <n v="1449.0360000000001"/>
    <x v="3"/>
    <x v="2"/>
    <n v="1"/>
    <s v="REG100737"/>
    <s v="Cust 1889"/>
    <n v="35.69"/>
    <d v="2024-05-22T00:00:00"/>
    <d v="2024-05-25T00:00:00"/>
    <x v="4"/>
  </r>
  <r>
    <x v="218"/>
    <x v="3"/>
    <x v="2"/>
    <n v="4"/>
    <n v="529.03"/>
    <x v="0"/>
    <x v="0"/>
    <x v="3"/>
    <x v="3"/>
    <n v="2010.3140000000001"/>
    <x v="0"/>
    <x v="1"/>
    <n v="0"/>
    <s v="REG100738"/>
    <s v="Cust 5411"/>
    <n v="25.96"/>
    <d v="2024-08-10T00:00:00"/>
    <d v="2024-08-20T00:00:00"/>
    <x v="3"/>
  </r>
  <r>
    <x v="178"/>
    <x v="4"/>
    <x v="5"/>
    <n v="2"/>
    <n v="107.32"/>
    <x v="0"/>
    <x v="1"/>
    <x v="3"/>
    <x v="1"/>
    <n v="203.90799999999999"/>
    <x v="2"/>
    <x v="3"/>
    <n v="0"/>
    <s v="REG100739"/>
    <s v="Cust 3411"/>
    <n v="47.33"/>
    <d v="2023-04-27T00:00:00"/>
    <d v="2023-04-29T00:00:00"/>
    <x v="4"/>
  </r>
  <r>
    <x v="522"/>
    <x v="1"/>
    <x v="5"/>
    <n v="1"/>
    <n v="500.96"/>
    <x v="2"/>
    <x v="0"/>
    <x v="3"/>
    <x v="2"/>
    <n v="475.91199999999998"/>
    <x v="0"/>
    <x v="2"/>
    <n v="0"/>
    <s v="REG100740"/>
    <s v="Cust 7449"/>
    <n v="42.1"/>
    <d v="2023-06-21T00:00:00"/>
    <d v="2023-06-25T00:00:00"/>
    <x v="1"/>
  </r>
  <r>
    <x v="395"/>
    <x v="4"/>
    <x v="6"/>
    <n v="17"/>
    <n v="549.78"/>
    <x v="0"/>
    <x v="0"/>
    <x v="3"/>
    <x v="1"/>
    <n v="8878.9470000000001"/>
    <x v="2"/>
    <x v="3"/>
    <n v="1"/>
    <s v="REG100741"/>
    <s v="Cust 4788"/>
    <n v="44.42"/>
    <d v="2024-10-11T00:00:00"/>
    <d v="2024-10-14T00:00:00"/>
    <x v="4"/>
  </r>
  <r>
    <x v="523"/>
    <x v="2"/>
    <x v="0"/>
    <n v="3"/>
    <n v="58.51"/>
    <x v="1"/>
    <x v="1"/>
    <x v="3"/>
    <x v="3"/>
    <n v="166.7535"/>
    <x v="4"/>
    <x v="2"/>
    <n v="0"/>
    <s v="REG100742"/>
    <s v="Cust 3564"/>
    <n v="23.57"/>
    <d v="2025-01-26T00:00:00"/>
    <d v="2025-01-30T00:00:00"/>
    <x v="2"/>
  </r>
  <r>
    <x v="524"/>
    <x v="1"/>
    <x v="3"/>
    <n v="17"/>
    <n v="504.08"/>
    <x v="1"/>
    <x v="0"/>
    <x v="1"/>
    <x v="4"/>
    <n v="7712.4240000000009"/>
    <x v="0"/>
    <x v="1"/>
    <n v="0"/>
    <s v="REG100743"/>
    <s v="Cust 8018"/>
    <n v="26.47"/>
    <d v="2024-06-18T00:00:00"/>
    <d v="2024-06-26T00:00:00"/>
    <x v="1"/>
  </r>
  <r>
    <x v="324"/>
    <x v="0"/>
    <x v="4"/>
    <n v="17"/>
    <n v="419.63"/>
    <x v="3"/>
    <x v="0"/>
    <x v="0"/>
    <x v="1"/>
    <n v="7133.71"/>
    <x v="4"/>
    <x v="1"/>
    <n v="0"/>
    <s v="REG100744"/>
    <s v="Cust 3045"/>
    <n v="17.399999999999999"/>
    <d v="2025-06-18T00:00:00"/>
    <d v="2025-06-24T00:00:00"/>
    <x v="0"/>
  </r>
  <r>
    <x v="525"/>
    <x v="1"/>
    <x v="0"/>
    <n v="2"/>
    <n v="267.36"/>
    <x v="0"/>
    <x v="0"/>
    <x v="3"/>
    <x v="2"/>
    <n v="507.98399999999998"/>
    <x v="0"/>
    <x v="3"/>
    <n v="0"/>
    <s v="REG100745"/>
    <s v="Cust 7020"/>
    <n v="21.36"/>
    <d v="2024-10-29T00:00:00"/>
    <d v="2024-11-07T00:00:00"/>
    <x v="1"/>
  </r>
  <r>
    <x v="409"/>
    <x v="3"/>
    <x v="1"/>
    <n v="2"/>
    <n v="298.06"/>
    <x v="0"/>
    <x v="0"/>
    <x v="0"/>
    <x v="1"/>
    <n v="596.12"/>
    <x v="3"/>
    <x v="1"/>
    <n v="1"/>
    <s v="REG100746"/>
    <s v="Cust 1905"/>
    <n v="35.369999999999997"/>
    <d v="2025-04-08T00:00:00"/>
    <d v="2025-04-14T00:00:00"/>
    <x v="3"/>
  </r>
  <r>
    <x v="526"/>
    <x v="3"/>
    <x v="5"/>
    <n v="13"/>
    <n v="132.97"/>
    <x v="0"/>
    <x v="0"/>
    <x v="3"/>
    <x v="2"/>
    <n v="1642.1795"/>
    <x v="3"/>
    <x v="2"/>
    <n v="0"/>
    <s v="REG100747"/>
    <s v="Cust 4592"/>
    <n v="42.87"/>
    <d v="2023-01-31T00:00:00"/>
    <d v="2023-02-05T00:00:00"/>
    <x v="3"/>
  </r>
  <r>
    <x v="107"/>
    <x v="4"/>
    <x v="3"/>
    <n v="14"/>
    <n v="476.28"/>
    <x v="1"/>
    <x v="0"/>
    <x v="1"/>
    <x v="0"/>
    <n v="6001.1280000000006"/>
    <x v="2"/>
    <x v="0"/>
    <n v="0"/>
    <s v="REG100748"/>
    <s v="Cust 5482"/>
    <n v="22.11"/>
    <d v="2024-03-15T00:00:00"/>
    <d v="2024-03-20T00:00:00"/>
    <x v="4"/>
  </r>
  <r>
    <x v="366"/>
    <x v="2"/>
    <x v="5"/>
    <n v="16"/>
    <n v="294.88"/>
    <x v="0"/>
    <x v="1"/>
    <x v="3"/>
    <x v="2"/>
    <n v="4482.1759999999986"/>
    <x v="4"/>
    <x v="3"/>
    <n v="1"/>
    <s v="REG100749"/>
    <s v="Cust 1947"/>
    <n v="17.190000000000001"/>
    <d v="2023-06-23T00:00:00"/>
    <d v="2023-06-27T00:00:00"/>
    <x v="2"/>
  </r>
  <r>
    <x v="392"/>
    <x v="2"/>
    <x v="4"/>
    <n v="19"/>
    <n v="596.03"/>
    <x v="2"/>
    <x v="1"/>
    <x v="2"/>
    <x v="0"/>
    <n v="9625.8845000000001"/>
    <x v="3"/>
    <x v="3"/>
    <n v="0"/>
    <s v="REG100750"/>
    <s v="Cust 2801"/>
    <n v="31.95"/>
    <d v="2024-06-14T00:00:00"/>
    <d v="2024-06-23T00:00:00"/>
    <x v="2"/>
  </r>
  <r>
    <x v="18"/>
    <x v="4"/>
    <x v="2"/>
    <n v="6"/>
    <n v="182.4"/>
    <x v="0"/>
    <x v="0"/>
    <x v="0"/>
    <x v="1"/>
    <n v="1094.4000000000001"/>
    <x v="0"/>
    <x v="0"/>
    <n v="1"/>
    <s v="REG100751"/>
    <s v="Cust 8206"/>
    <n v="49.49"/>
    <d v="2023-11-30T00:00:00"/>
    <d v="2023-12-09T00:00:00"/>
    <x v="4"/>
  </r>
  <r>
    <x v="93"/>
    <x v="2"/>
    <x v="0"/>
    <n v="10"/>
    <n v="400.95"/>
    <x v="2"/>
    <x v="1"/>
    <x v="3"/>
    <x v="3"/>
    <n v="3809.0250000000001"/>
    <x v="0"/>
    <x v="3"/>
    <n v="0"/>
    <s v="REG100752"/>
    <s v="Cust 5277"/>
    <n v="17.46"/>
    <d v="2024-04-21T00:00:00"/>
    <d v="2024-04-30T00:00:00"/>
    <x v="2"/>
  </r>
  <r>
    <x v="23"/>
    <x v="0"/>
    <x v="2"/>
    <n v="7"/>
    <n v="373.66"/>
    <x v="0"/>
    <x v="1"/>
    <x v="3"/>
    <x v="1"/>
    <n v="2484.8389999999999"/>
    <x v="1"/>
    <x v="1"/>
    <n v="0"/>
    <s v="REG100753"/>
    <s v="Cust 8900"/>
    <n v="46.33"/>
    <d v="2023-08-06T00:00:00"/>
    <d v="2023-08-12T00:00:00"/>
    <x v="0"/>
  </r>
  <r>
    <x v="378"/>
    <x v="4"/>
    <x v="2"/>
    <n v="7"/>
    <n v="355.66"/>
    <x v="2"/>
    <x v="1"/>
    <x v="2"/>
    <x v="3"/>
    <n v="2116.1770000000001"/>
    <x v="1"/>
    <x v="0"/>
    <n v="1"/>
    <s v="REG100754"/>
    <s v="Cust 9387"/>
    <n v="28.77"/>
    <d v="2024-06-21T00:00:00"/>
    <d v="2024-06-27T00:00:00"/>
    <x v="4"/>
  </r>
  <r>
    <x v="527"/>
    <x v="2"/>
    <x v="5"/>
    <n v="12"/>
    <n v="260.31"/>
    <x v="2"/>
    <x v="1"/>
    <x v="1"/>
    <x v="5"/>
    <n v="2811.348"/>
    <x v="4"/>
    <x v="1"/>
    <n v="0"/>
    <s v="REG100755"/>
    <s v="Cust 7013"/>
    <n v="14.58"/>
    <d v="2025-03-16T00:00:00"/>
    <d v="2025-03-24T00:00:00"/>
    <x v="2"/>
  </r>
  <r>
    <x v="528"/>
    <x v="4"/>
    <x v="5"/>
    <n v="10"/>
    <n v="370.99"/>
    <x v="0"/>
    <x v="1"/>
    <x v="2"/>
    <x v="2"/>
    <n v="3153.415"/>
    <x v="0"/>
    <x v="1"/>
    <n v="1"/>
    <s v="REG100756"/>
    <s v="Cust 4868"/>
    <n v="11.16"/>
    <d v="2024-04-20T00:00:00"/>
    <d v="2024-04-25T00:00:00"/>
    <x v="4"/>
  </r>
  <r>
    <x v="529"/>
    <x v="0"/>
    <x v="0"/>
    <n v="2"/>
    <n v="548.72"/>
    <x v="1"/>
    <x v="0"/>
    <x v="1"/>
    <x v="2"/>
    <n v="987.69600000000003"/>
    <x v="2"/>
    <x v="0"/>
    <n v="1"/>
    <s v="REG100757"/>
    <s v="Cust 5239"/>
    <n v="26.35"/>
    <d v="2024-12-20T00:00:00"/>
    <d v="2024-12-29T00:00:00"/>
    <x v="0"/>
  </r>
  <r>
    <x v="530"/>
    <x v="2"/>
    <x v="6"/>
    <n v="8"/>
    <n v="343.53"/>
    <x v="1"/>
    <x v="0"/>
    <x v="0"/>
    <x v="2"/>
    <n v="2748.24"/>
    <x v="4"/>
    <x v="3"/>
    <n v="0"/>
    <s v="REG100758"/>
    <s v="Cust 4703"/>
    <n v="16.100000000000001"/>
    <d v="2023-08-22T00:00:00"/>
    <d v="2023-09-01T00:00:00"/>
    <x v="2"/>
  </r>
  <r>
    <x v="332"/>
    <x v="2"/>
    <x v="5"/>
    <n v="13"/>
    <n v="494.78"/>
    <x v="1"/>
    <x v="0"/>
    <x v="2"/>
    <x v="4"/>
    <n v="5467.3190000000004"/>
    <x v="4"/>
    <x v="0"/>
    <n v="0"/>
    <s v="REG100759"/>
    <s v="Cust 7224"/>
    <n v="5.85"/>
    <d v="2023-03-04T00:00:00"/>
    <d v="2023-03-13T00:00:00"/>
    <x v="2"/>
  </r>
  <r>
    <x v="503"/>
    <x v="2"/>
    <x v="0"/>
    <n v="9"/>
    <n v="36.619999999999997"/>
    <x v="0"/>
    <x v="0"/>
    <x v="1"/>
    <x v="0"/>
    <n v="296.62200000000001"/>
    <x v="3"/>
    <x v="0"/>
    <n v="1"/>
    <s v="REG100760"/>
    <s v="Cust 4751"/>
    <n v="29.9"/>
    <d v="2024-06-24T00:00:00"/>
    <d v="2024-07-01T00:00:00"/>
    <x v="2"/>
  </r>
  <r>
    <x v="531"/>
    <x v="0"/>
    <x v="5"/>
    <n v="14"/>
    <n v="216.2"/>
    <x v="2"/>
    <x v="0"/>
    <x v="0"/>
    <x v="4"/>
    <n v="3026.8"/>
    <x v="0"/>
    <x v="2"/>
    <n v="0"/>
    <s v="REG100761"/>
    <s v="Cust 1201"/>
    <n v="14.39"/>
    <d v="2024-12-09T00:00:00"/>
    <d v="2024-12-13T00:00:00"/>
    <x v="0"/>
  </r>
  <r>
    <x v="532"/>
    <x v="4"/>
    <x v="0"/>
    <n v="11"/>
    <n v="128.99"/>
    <x v="1"/>
    <x v="1"/>
    <x v="3"/>
    <x v="4"/>
    <n v="1347.9455"/>
    <x v="3"/>
    <x v="1"/>
    <n v="0"/>
    <s v="REG100762"/>
    <s v="Cust 9584"/>
    <n v="38.58"/>
    <d v="2024-07-04T00:00:00"/>
    <d v="2024-07-07T00:00:00"/>
    <x v="4"/>
  </r>
  <r>
    <x v="155"/>
    <x v="0"/>
    <x v="1"/>
    <n v="11"/>
    <n v="183.11"/>
    <x v="0"/>
    <x v="1"/>
    <x v="2"/>
    <x v="2"/>
    <n v="1712.0785000000001"/>
    <x v="1"/>
    <x v="0"/>
    <n v="0"/>
    <s v="REG100763"/>
    <s v="Cust 6980"/>
    <n v="41.83"/>
    <d v="2025-03-04T00:00:00"/>
    <d v="2025-03-06T00:00:00"/>
    <x v="0"/>
  </r>
  <r>
    <x v="115"/>
    <x v="0"/>
    <x v="6"/>
    <n v="11"/>
    <n v="277.95"/>
    <x v="1"/>
    <x v="1"/>
    <x v="3"/>
    <x v="2"/>
    <n v="2904.5774999999999"/>
    <x v="1"/>
    <x v="2"/>
    <n v="0"/>
    <s v="REG100764"/>
    <s v="Cust 2835"/>
    <n v="44.04"/>
    <d v="2024-01-22T00:00:00"/>
    <d v="2024-01-29T00:00:00"/>
    <x v="0"/>
  </r>
  <r>
    <x v="533"/>
    <x v="0"/>
    <x v="2"/>
    <n v="14"/>
    <n v="554.08000000000004"/>
    <x v="1"/>
    <x v="1"/>
    <x v="3"/>
    <x v="4"/>
    <n v="7369.2640000000001"/>
    <x v="4"/>
    <x v="3"/>
    <n v="0"/>
    <s v="REG100765"/>
    <s v="Cust 4286"/>
    <n v="36.72"/>
    <d v="2025-03-12T00:00:00"/>
    <d v="2025-03-21T00:00:00"/>
    <x v="0"/>
  </r>
  <r>
    <x v="376"/>
    <x v="3"/>
    <x v="1"/>
    <n v="15"/>
    <n v="23.32"/>
    <x v="1"/>
    <x v="1"/>
    <x v="3"/>
    <x v="3"/>
    <n v="332.31"/>
    <x v="3"/>
    <x v="3"/>
    <n v="0"/>
    <s v="REG100766"/>
    <s v="Cust 7876"/>
    <n v="25.27"/>
    <d v="2025-02-28T00:00:00"/>
    <d v="2025-03-03T00:00:00"/>
    <x v="3"/>
  </r>
  <r>
    <x v="24"/>
    <x v="0"/>
    <x v="2"/>
    <n v="4"/>
    <n v="20.96"/>
    <x v="3"/>
    <x v="0"/>
    <x v="3"/>
    <x v="5"/>
    <n v="79.647999999999996"/>
    <x v="0"/>
    <x v="0"/>
    <n v="1"/>
    <s v="REG100767"/>
    <s v="Cust 5926"/>
    <n v="33.67"/>
    <d v="2024-05-23T00:00:00"/>
    <d v="2024-05-31T00:00:00"/>
    <x v="0"/>
  </r>
  <r>
    <x v="121"/>
    <x v="2"/>
    <x v="2"/>
    <n v="18"/>
    <n v="132.29"/>
    <x v="1"/>
    <x v="0"/>
    <x v="3"/>
    <x v="4"/>
    <n v="2262.1590000000001"/>
    <x v="2"/>
    <x v="3"/>
    <n v="1"/>
    <s v="REG100768"/>
    <s v="Cust 4478"/>
    <n v="24.3"/>
    <d v="2023-09-17T00:00:00"/>
    <d v="2023-09-20T00:00:00"/>
    <x v="2"/>
  </r>
  <r>
    <x v="343"/>
    <x v="0"/>
    <x v="1"/>
    <n v="19"/>
    <n v="199.65"/>
    <x v="1"/>
    <x v="1"/>
    <x v="1"/>
    <x v="3"/>
    <n v="3414.0149999999999"/>
    <x v="4"/>
    <x v="1"/>
    <n v="1"/>
    <s v="REG100769"/>
    <s v="Cust 4711"/>
    <n v="35.119999999999997"/>
    <d v="2023-06-13T00:00:00"/>
    <d v="2023-06-18T00:00:00"/>
    <x v="0"/>
  </r>
  <r>
    <x v="534"/>
    <x v="4"/>
    <x v="1"/>
    <n v="16"/>
    <n v="307"/>
    <x v="1"/>
    <x v="0"/>
    <x v="0"/>
    <x v="5"/>
    <n v="4912"/>
    <x v="3"/>
    <x v="0"/>
    <n v="0"/>
    <s v="REG100770"/>
    <s v="Cust 9227"/>
    <n v="11.99"/>
    <d v="2025-05-31T00:00:00"/>
    <d v="2025-06-02T00:00:00"/>
    <x v="4"/>
  </r>
  <r>
    <x v="535"/>
    <x v="0"/>
    <x v="5"/>
    <n v="1"/>
    <n v="315.93"/>
    <x v="2"/>
    <x v="1"/>
    <x v="2"/>
    <x v="1"/>
    <n v="268.54050000000001"/>
    <x v="2"/>
    <x v="1"/>
    <n v="0"/>
    <s v="REG100771"/>
    <s v="Cust 2830"/>
    <n v="43.2"/>
    <d v="2023-10-11T00:00:00"/>
    <d v="2023-10-14T00:00:00"/>
    <x v="0"/>
  </r>
  <r>
    <x v="536"/>
    <x v="4"/>
    <x v="6"/>
    <n v="5"/>
    <n v="596.97"/>
    <x v="1"/>
    <x v="1"/>
    <x v="0"/>
    <x v="0"/>
    <n v="2984.85"/>
    <x v="4"/>
    <x v="1"/>
    <n v="0"/>
    <s v="REG100772"/>
    <s v="Cust 3767"/>
    <n v="14.43"/>
    <d v="2023-08-07T00:00:00"/>
    <d v="2023-08-14T00:00:00"/>
    <x v="4"/>
  </r>
  <r>
    <x v="388"/>
    <x v="2"/>
    <x v="0"/>
    <n v="17"/>
    <n v="376.98"/>
    <x v="1"/>
    <x v="1"/>
    <x v="3"/>
    <x v="3"/>
    <n v="6088.2269999999999"/>
    <x v="3"/>
    <x v="3"/>
    <n v="1"/>
    <s v="REG100773"/>
    <s v="Cust 1561"/>
    <n v="38.479999999999997"/>
    <d v="2023-12-03T00:00:00"/>
    <d v="2023-12-05T00:00:00"/>
    <x v="2"/>
  </r>
  <r>
    <x v="537"/>
    <x v="3"/>
    <x v="6"/>
    <n v="6"/>
    <n v="208.64"/>
    <x v="3"/>
    <x v="1"/>
    <x v="1"/>
    <x v="2"/>
    <n v="1126.6559999999999"/>
    <x v="2"/>
    <x v="0"/>
    <n v="0"/>
    <s v="REG100774"/>
    <s v="Cust 8569"/>
    <n v="49.93"/>
    <d v="2024-08-01T00:00:00"/>
    <d v="2024-08-04T00:00:00"/>
    <x v="3"/>
  </r>
  <r>
    <x v="538"/>
    <x v="0"/>
    <x v="3"/>
    <n v="7"/>
    <n v="307.82"/>
    <x v="0"/>
    <x v="0"/>
    <x v="0"/>
    <x v="0"/>
    <n v="2154.7399999999998"/>
    <x v="3"/>
    <x v="2"/>
    <n v="1"/>
    <s v="REG100775"/>
    <s v="Cust 1254"/>
    <n v="14"/>
    <d v="2023-03-20T00:00:00"/>
    <d v="2023-03-27T00:00:00"/>
    <x v="0"/>
  </r>
  <r>
    <x v="148"/>
    <x v="3"/>
    <x v="5"/>
    <n v="13"/>
    <n v="382.48"/>
    <x v="3"/>
    <x v="1"/>
    <x v="3"/>
    <x v="0"/>
    <n v="4723.6279999999997"/>
    <x v="2"/>
    <x v="2"/>
    <n v="0"/>
    <s v="REG100776"/>
    <s v="Cust 8556"/>
    <n v="7.59"/>
    <d v="2025-06-30T00:00:00"/>
    <d v="2025-07-04T00:00:00"/>
    <x v="3"/>
  </r>
  <r>
    <x v="317"/>
    <x v="1"/>
    <x v="2"/>
    <n v="9"/>
    <n v="188.03"/>
    <x v="0"/>
    <x v="1"/>
    <x v="0"/>
    <x v="2"/>
    <n v="1692.27"/>
    <x v="4"/>
    <x v="0"/>
    <n v="0"/>
    <s v="REG100777"/>
    <s v="Cust 7204"/>
    <n v="11.44"/>
    <d v="2025-02-05T00:00:00"/>
    <d v="2025-02-07T00:00:00"/>
    <x v="1"/>
  </r>
  <r>
    <x v="539"/>
    <x v="0"/>
    <x v="2"/>
    <n v="17"/>
    <n v="238.17"/>
    <x v="3"/>
    <x v="0"/>
    <x v="2"/>
    <x v="2"/>
    <n v="3441.5565000000001"/>
    <x v="4"/>
    <x v="0"/>
    <n v="0"/>
    <s v="REG100778"/>
    <s v="Cust 7725"/>
    <n v="21.64"/>
    <d v="2024-05-19T00:00:00"/>
    <d v="2024-05-29T00:00:00"/>
    <x v="0"/>
  </r>
  <r>
    <x v="332"/>
    <x v="2"/>
    <x v="6"/>
    <n v="10"/>
    <n v="450.71"/>
    <x v="0"/>
    <x v="1"/>
    <x v="1"/>
    <x v="5"/>
    <n v="4056.389999999999"/>
    <x v="1"/>
    <x v="1"/>
    <n v="0"/>
    <s v="REG100779"/>
    <s v="Cust 9210"/>
    <n v="21.31"/>
    <d v="2023-03-04T00:00:00"/>
    <d v="2023-03-12T00:00:00"/>
    <x v="2"/>
  </r>
  <r>
    <x v="229"/>
    <x v="3"/>
    <x v="4"/>
    <n v="2"/>
    <n v="413.36"/>
    <x v="3"/>
    <x v="1"/>
    <x v="1"/>
    <x v="1"/>
    <n v="744.048"/>
    <x v="0"/>
    <x v="1"/>
    <n v="1"/>
    <s v="REG100780"/>
    <s v="Cust 9085"/>
    <n v="41.69"/>
    <d v="2023-01-22T00:00:00"/>
    <d v="2023-01-24T00:00:00"/>
    <x v="3"/>
  </r>
  <r>
    <x v="538"/>
    <x v="1"/>
    <x v="1"/>
    <n v="20"/>
    <n v="536.71"/>
    <x v="0"/>
    <x v="1"/>
    <x v="2"/>
    <x v="3"/>
    <n v="9124.07"/>
    <x v="3"/>
    <x v="1"/>
    <n v="0"/>
    <s v="REG100781"/>
    <s v="Cust 4937"/>
    <n v="41.42"/>
    <d v="2023-03-20T00:00:00"/>
    <d v="2023-03-25T00:00:00"/>
    <x v="1"/>
  </r>
  <r>
    <x v="410"/>
    <x v="4"/>
    <x v="1"/>
    <n v="5"/>
    <n v="206.42"/>
    <x v="3"/>
    <x v="1"/>
    <x v="3"/>
    <x v="1"/>
    <n v="980.49499999999989"/>
    <x v="3"/>
    <x v="2"/>
    <n v="0"/>
    <s v="REG100782"/>
    <s v="Cust 3606"/>
    <n v="35.51"/>
    <d v="2024-06-05T00:00:00"/>
    <d v="2024-06-13T00:00:00"/>
    <x v="4"/>
  </r>
  <r>
    <x v="540"/>
    <x v="0"/>
    <x v="6"/>
    <n v="4"/>
    <n v="256.83"/>
    <x v="1"/>
    <x v="0"/>
    <x v="2"/>
    <x v="3"/>
    <n v="873.22199999999987"/>
    <x v="4"/>
    <x v="3"/>
    <n v="1"/>
    <s v="REG100783"/>
    <s v="Cust 5865"/>
    <n v="44.72"/>
    <d v="2024-07-09T00:00:00"/>
    <d v="2024-07-17T00:00:00"/>
    <x v="0"/>
  </r>
  <r>
    <x v="251"/>
    <x v="1"/>
    <x v="4"/>
    <n v="1"/>
    <n v="247.04"/>
    <x v="2"/>
    <x v="0"/>
    <x v="0"/>
    <x v="5"/>
    <n v="247.04"/>
    <x v="2"/>
    <x v="0"/>
    <n v="0"/>
    <s v="REG100784"/>
    <s v="Cust 7195"/>
    <n v="26.86"/>
    <d v="2025-03-08T00:00:00"/>
    <d v="2025-03-13T00:00:00"/>
    <x v="1"/>
  </r>
  <r>
    <x v="513"/>
    <x v="1"/>
    <x v="5"/>
    <n v="3"/>
    <n v="583.38"/>
    <x v="0"/>
    <x v="1"/>
    <x v="2"/>
    <x v="4"/>
    <n v="1487.6189999999999"/>
    <x v="4"/>
    <x v="2"/>
    <n v="1"/>
    <s v="REG100785"/>
    <s v="Cust 6113"/>
    <n v="30.12"/>
    <d v="2025-06-21T00:00:00"/>
    <d v="2025-06-30T00:00:00"/>
    <x v="1"/>
  </r>
  <r>
    <x v="541"/>
    <x v="2"/>
    <x v="5"/>
    <n v="13"/>
    <n v="341.38"/>
    <x v="2"/>
    <x v="1"/>
    <x v="2"/>
    <x v="1"/>
    <n v="3772.2489999999989"/>
    <x v="4"/>
    <x v="3"/>
    <n v="0"/>
    <s v="REG100786"/>
    <s v="Cust 9878"/>
    <n v="18.2"/>
    <d v="2025-06-28T00:00:00"/>
    <d v="2025-07-01T00:00:00"/>
    <x v="2"/>
  </r>
  <r>
    <x v="518"/>
    <x v="4"/>
    <x v="3"/>
    <n v="19"/>
    <n v="267.02999999999997"/>
    <x v="3"/>
    <x v="0"/>
    <x v="2"/>
    <x v="5"/>
    <n v="4312.5344999999998"/>
    <x v="0"/>
    <x v="1"/>
    <n v="1"/>
    <s v="REG100787"/>
    <s v="Cust 3936"/>
    <n v="35.82"/>
    <d v="2025-04-05T00:00:00"/>
    <d v="2025-04-13T00:00:00"/>
    <x v="4"/>
  </r>
  <r>
    <x v="337"/>
    <x v="1"/>
    <x v="6"/>
    <n v="7"/>
    <n v="77.69"/>
    <x v="3"/>
    <x v="0"/>
    <x v="0"/>
    <x v="3"/>
    <n v="543.82999999999993"/>
    <x v="2"/>
    <x v="1"/>
    <n v="0"/>
    <s v="REG100788"/>
    <s v="Cust 3937"/>
    <n v="41.89"/>
    <d v="2024-03-05T00:00:00"/>
    <d v="2024-03-12T00:00:00"/>
    <x v="1"/>
  </r>
  <r>
    <x v="542"/>
    <x v="0"/>
    <x v="1"/>
    <n v="20"/>
    <n v="312.43"/>
    <x v="2"/>
    <x v="1"/>
    <x v="0"/>
    <x v="3"/>
    <n v="6248.6"/>
    <x v="2"/>
    <x v="1"/>
    <n v="0"/>
    <s v="REG100789"/>
    <s v="Cust 5262"/>
    <n v="28.11"/>
    <d v="2024-03-09T00:00:00"/>
    <d v="2024-03-11T00:00:00"/>
    <x v="0"/>
  </r>
  <r>
    <x v="296"/>
    <x v="3"/>
    <x v="4"/>
    <n v="19"/>
    <n v="14.1"/>
    <x v="2"/>
    <x v="0"/>
    <x v="3"/>
    <x v="3"/>
    <n v="254.505"/>
    <x v="4"/>
    <x v="0"/>
    <n v="0"/>
    <s v="REG100790"/>
    <s v="Cust 3892"/>
    <n v="37.840000000000003"/>
    <d v="2025-02-25T00:00:00"/>
    <d v="2025-02-28T00:00:00"/>
    <x v="3"/>
  </r>
  <r>
    <x v="85"/>
    <x v="4"/>
    <x v="5"/>
    <n v="17"/>
    <n v="266.83"/>
    <x v="3"/>
    <x v="1"/>
    <x v="3"/>
    <x v="2"/>
    <n v="4309.3044999999993"/>
    <x v="2"/>
    <x v="2"/>
    <n v="0"/>
    <s v="REG100791"/>
    <s v="Cust 8826"/>
    <n v="32.520000000000003"/>
    <d v="2024-11-16T00:00:00"/>
    <d v="2024-11-23T00:00:00"/>
    <x v="4"/>
  </r>
  <r>
    <x v="537"/>
    <x v="1"/>
    <x v="6"/>
    <n v="20"/>
    <n v="248.11"/>
    <x v="3"/>
    <x v="0"/>
    <x v="3"/>
    <x v="3"/>
    <n v="4714.09"/>
    <x v="0"/>
    <x v="1"/>
    <n v="0"/>
    <s v="REG100792"/>
    <s v="Cust 1119"/>
    <n v="22.96"/>
    <d v="2024-08-01T00:00:00"/>
    <d v="2024-08-06T00:00:00"/>
    <x v="1"/>
  </r>
  <r>
    <x v="528"/>
    <x v="4"/>
    <x v="3"/>
    <n v="5"/>
    <n v="316.76"/>
    <x v="0"/>
    <x v="1"/>
    <x v="3"/>
    <x v="1"/>
    <n v="1504.61"/>
    <x v="1"/>
    <x v="0"/>
    <n v="1"/>
    <s v="REG100793"/>
    <s v="Cust 2685"/>
    <n v="12.7"/>
    <d v="2024-04-20T00:00:00"/>
    <d v="2024-04-30T00:00:00"/>
    <x v="4"/>
  </r>
  <r>
    <x v="528"/>
    <x v="1"/>
    <x v="0"/>
    <n v="2"/>
    <n v="169.62"/>
    <x v="2"/>
    <x v="1"/>
    <x v="1"/>
    <x v="1"/>
    <n v="305.31599999999997"/>
    <x v="3"/>
    <x v="3"/>
    <n v="0"/>
    <s v="REG100794"/>
    <s v="Cust 5939"/>
    <n v="45.41"/>
    <d v="2024-04-20T00:00:00"/>
    <d v="2024-04-25T00:00:00"/>
    <x v="1"/>
  </r>
  <r>
    <x v="466"/>
    <x v="2"/>
    <x v="0"/>
    <n v="19"/>
    <n v="35.380000000000003"/>
    <x v="1"/>
    <x v="1"/>
    <x v="2"/>
    <x v="4"/>
    <n v="571.38700000000006"/>
    <x v="0"/>
    <x v="1"/>
    <n v="0"/>
    <s v="REG100795"/>
    <s v="Cust 1791"/>
    <n v="7.06"/>
    <d v="2023-09-22T00:00:00"/>
    <d v="2023-09-28T00:00:00"/>
    <x v="2"/>
  </r>
  <r>
    <x v="383"/>
    <x v="4"/>
    <x v="3"/>
    <n v="3"/>
    <n v="264.08"/>
    <x v="1"/>
    <x v="1"/>
    <x v="1"/>
    <x v="4"/>
    <n v="713.01600000000008"/>
    <x v="0"/>
    <x v="3"/>
    <n v="0"/>
    <s v="REG100796"/>
    <s v="Cust 8530"/>
    <n v="25.39"/>
    <d v="2025-02-21T00:00:00"/>
    <d v="2025-03-02T00:00:00"/>
    <x v="4"/>
  </r>
  <r>
    <x v="543"/>
    <x v="0"/>
    <x v="5"/>
    <n v="5"/>
    <n v="137.56"/>
    <x v="2"/>
    <x v="0"/>
    <x v="2"/>
    <x v="4"/>
    <n v="584.63"/>
    <x v="3"/>
    <x v="1"/>
    <n v="0"/>
    <s v="REG100797"/>
    <s v="Cust 4522"/>
    <n v="6.45"/>
    <d v="2025-06-24T00:00:00"/>
    <d v="2025-07-01T00:00:00"/>
    <x v="0"/>
  </r>
  <r>
    <x v="206"/>
    <x v="3"/>
    <x v="0"/>
    <n v="8"/>
    <n v="157.93"/>
    <x v="0"/>
    <x v="1"/>
    <x v="2"/>
    <x v="4"/>
    <n v="1073.924"/>
    <x v="0"/>
    <x v="1"/>
    <n v="0"/>
    <s v="REG100798"/>
    <s v="Cust 9619"/>
    <n v="6.31"/>
    <d v="2023-11-28T00:00:00"/>
    <d v="2023-12-05T00:00:00"/>
    <x v="3"/>
  </r>
  <r>
    <x v="413"/>
    <x v="2"/>
    <x v="2"/>
    <n v="6"/>
    <n v="126.86"/>
    <x v="2"/>
    <x v="0"/>
    <x v="3"/>
    <x v="0"/>
    <n v="723.10199999999998"/>
    <x v="3"/>
    <x v="0"/>
    <n v="0"/>
    <s v="REG100799"/>
    <s v="Cust 1637"/>
    <n v="35.49"/>
    <d v="2024-04-08T00:00:00"/>
    <d v="2024-04-17T00:00:00"/>
    <x v="2"/>
  </r>
  <r>
    <x v="316"/>
    <x v="2"/>
    <x v="3"/>
    <n v="15"/>
    <n v="240.05"/>
    <x v="2"/>
    <x v="1"/>
    <x v="3"/>
    <x v="3"/>
    <n v="3420.7125000000001"/>
    <x v="2"/>
    <x v="0"/>
    <n v="0"/>
    <s v="REG100800"/>
    <s v="Cust 6914"/>
    <n v="14.31"/>
    <d v="2025-01-07T00:00:00"/>
    <d v="2025-01-14T00:00:00"/>
    <x v="2"/>
  </r>
  <r>
    <x v="349"/>
    <x v="1"/>
    <x v="5"/>
    <n v="3"/>
    <n v="37.630000000000003"/>
    <x v="1"/>
    <x v="0"/>
    <x v="1"/>
    <x v="3"/>
    <n v="101.601"/>
    <x v="3"/>
    <x v="0"/>
    <n v="0"/>
    <s v="REG100801"/>
    <s v="Cust 5737"/>
    <n v="43.7"/>
    <d v="2023-02-24T00:00:00"/>
    <d v="2023-03-03T00:00:00"/>
    <x v="1"/>
  </r>
  <r>
    <x v="544"/>
    <x v="0"/>
    <x v="3"/>
    <n v="13"/>
    <n v="393.1"/>
    <x v="0"/>
    <x v="0"/>
    <x v="1"/>
    <x v="1"/>
    <n v="4599.2700000000004"/>
    <x v="0"/>
    <x v="3"/>
    <n v="0"/>
    <s v="REG100802"/>
    <s v="Cust 5301"/>
    <n v="12.64"/>
    <d v="2023-10-19T00:00:00"/>
    <d v="2023-10-26T00:00:00"/>
    <x v="0"/>
  </r>
  <r>
    <x v="545"/>
    <x v="2"/>
    <x v="3"/>
    <n v="10"/>
    <n v="83.86"/>
    <x v="1"/>
    <x v="0"/>
    <x v="2"/>
    <x v="1"/>
    <n v="712.81"/>
    <x v="2"/>
    <x v="3"/>
    <n v="0"/>
    <s v="REG100803"/>
    <s v="Cust 2524"/>
    <n v="41.11"/>
    <d v="2024-06-17T00:00:00"/>
    <d v="2024-06-21T00:00:00"/>
    <x v="2"/>
  </r>
  <r>
    <x v="522"/>
    <x v="3"/>
    <x v="2"/>
    <n v="10"/>
    <n v="110.07"/>
    <x v="0"/>
    <x v="0"/>
    <x v="0"/>
    <x v="2"/>
    <n v="1100.7"/>
    <x v="2"/>
    <x v="3"/>
    <n v="0"/>
    <s v="REG100804"/>
    <s v="Cust 8480"/>
    <n v="18.47"/>
    <d v="2023-06-21T00:00:00"/>
    <d v="2023-06-29T00:00:00"/>
    <x v="3"/>
  </r>
  <r>
    <x v="315"/>
    <x v="0"/>
    <x v="1"/>
    <n v="6"/>
    <n v="288.98"/>
    <x v="2"/>
    <x v="0"/>
    <x v="2"/>
    <x v="4"/>
    <n v="1473.798"/>
    <x v="1"/>
    <x v="3"/>
    <n v="0"/>
    <s v="REG100805"/>
    <s v="Cust 2595"/>
    <n v="38.630000000000003"/>
    <d v="2024-08-30T00:00:00"/>
    <d v="2024-09-02T00:00:00"/>
    <x v="0"/>
  </r>
  <r>
    <x v="546"/>
    <x v="3"/>
    <x v="2"/>
    <n v="10"/>
    <n v="451.14"/>
    <x v="1"/>
    <x v="1"/>
    <x v="0"/>
    <x v="5"/>
    <n v="4511.3999999999996"/>
    <x v="1"/>
    <x v="0"/>
    <n v="0"/>
    <s v="REG100806"/>
    <s v="Cust 7132"/>
    <n v="29.96"/>
    <d v="2025-01-03T00:00:00"/>
    <d v="2025-01-13T00:00:00"/>
    <x v="3"/>
  </r>
  <r>
    <x v="0"/>
    <x v="4"/>
    <x v="6"/>
    <n v="16"/>
    <n v="509.08"/>
    <x v="2"/>
    <x v="0"/>
    <x v="0"/>
    <x v="3"/>
    <n v="8145.28"/>
    <x v="0"/>
    <x v="0"/>
    <n v="0"/>
    <s v="REG100807"/>
    <s v="Cust 4240"/>
    <n v="37.53"/>
    <d v="2023-02-23T00:00:00"/>
    <d v="2023-03-02T00:00:00"/>
    <x v="4"/>
  </r>
  <r>
    <x v="547"/>
    <x v="3"/>
    <x v="6"/>
    <n v="4"/>
    <n v="582.73"/>
    <x v="3"/>
    <x v="0"/>
    <x v="3"/>
    <x v="3"/>
    <n v="2214.3739999999998"/>
    <x v="4"/>
    <x v="2"/>
    <n v="0"/>
    <s v="REG100808"/>
    <s v="Cust 4644"/>
    <n v="44.26"/>
    <d v="2025-04-26T00:00:00"/>
    <d v="2025-04-29T00:00:00"/>
    <x v="3"/>
  </r>
  <r>
    <x v="548"/>
    <x v="1"/>
    <x v="1"/>
    <n v="9"/>
    <n v="115.24"/>
    <x v="0"/>
    <x v="0"/>
    <x v="0"/>
    <x v="1"/>
    <n v="1037.1600000000001"/>
    <x v="2"/>
    <x v="0"/>
    <n v="0"/>
    <s v="REG100809"/>
    <s v="Cust 5133"/>
    <n v="8.2799999999999994"/>
    <d v="2023-06-08T00:00:00"/>
    <d v="2023-06-14T00:00:00"/>
    <x v="1"/>
  </r>
  <r>
    <x v="399"/>
    <x v="2"/>
    <x v="4"/>
    <n v="14"/>
    <n v="565.45000000000005"/>
    <x v="3"/>
    <x v="0"/>
    <x v="1"/>
    <x v="0"/>
    <n v="7124.670000000001"/>
    <x v="0"/>
    <x v="2"/>
    <n v="0"/>
    <s v="REG100810"/>
    <s v="Cust 1731"/>
    <n v="24.4"/>
    <d v="2023-03-16T00:00:00"/>
    <d v="2023-03-25T00:00:00"/>
    <x v="2"/>
  </r>
  <r>
    <x v="75"/>
    <x v="2"/>
    <x v="1"/>
    <n v="11"/>
    <n v="121.54"/>
    <x v="3"/>
    <x v="0"/>
    <x v="0"/>
    <x v="3"/>
    <n v="1336.94"/>
    <x v="2"/>
    <x v="1"/>
    <n v="0"/>
    <s v="REG100811"/>
    <s v="Cust 3739"/>
    <n v="16.62"/>
    <d v="2024-10-23T00:00:00"/>
    <d v="2024-10-28T00:00:00"/>
    <x v="2"/>
  </r>
  <r>
    <x v="549"/>
    <x v="0"/>
    <x v="6"/>
    <n v="9"/>
    <n v="160.15"/>
    <x v="3"/>
    <x v="1"/>
    <x v="1"/>
    <x v="1"/>
    <n v="1297.2149999999999"/>
    <x v="3"/>
    <x v="3"/>
    <n v="1"/>
    <s v="REG100812"/>
    <s v="Cust 3853"/>
    <n v="29.64"/>
    <d v="2025-05-23T00:00:00"/>
    <d v="2025-05-28T00:00:00"/>
    <x v="0"/>
  </r>
  <r>
    <x v="400"/>
    <x v="0"/>
    <x v="2"/>
    <n v="14"/>
    <n v="175.66"/>
    <x v="0"/>
    <x v="0"/>
    <x v="3"/>
    <x v="5"/>
    <n v="2336.2779999999998"/>
    <x v="4"/>
    <x v="1"/>
    <n v="0"/>
    <s v="REG100813"/>
    <s v="Cust 6830"/>
    <n v="26.12"/>
    <d v="2023-05-06T00:00:00"/>
    <d v="2023-05-14T00:00:00"/>
    <x v="0"/>
  </r>
  <r>
    <x v="255"/>
    <x v="1"/>
    <x v="5"/>
    <n v="3"/>
    <n v="437.97"/>
    <x v="2"/>
    <x v="0"/>
    <x v="3"/>
    <x v="0"/>
    <n v="1248.2145"/>
    <x v="4"/>
    <x v="1"/>
    <n v="1"/>
    <s v="REG100814"/>
    <s v="Cust 5351"/>
    <n v="23.29"/>
    <d v="2024-08-15T00:00:00"/>
    <d v="2024-08-22T00:00:00"/>
    <x v="1"/>
  </r>
  <r>
    <x v="200"/>
    <x v="1"/>
    <x v="6"/>
    <n v="12"/>
    <n v="411.59"/>
    <x v="0"/>
    <x v="0"/>
    <x v="2"/>
    <x v="4"/>
    <n v="4198.2179999999998"/>
    <x v="4"/>
    <x v="0"/>
    <n v="0"/>
    <s v="REG100815"/>
    <s v="Cust 5845"/>
    <n v="19.170000000000002"/>
    <d v="2023-08-23T00:00:00"/>
    <d v="2023-08-31T00:00:00"/>
    <x v="1"/>
  </r>
  <r>
    <x v="91"/>
    <x v="1"/>
    <x v="0"/>
    <n v="1"/>
    <n v="163.29"/>
    <x v="0"/>
    <x v="1"/>
    <x v="0"/>
    <x v="4"/>
    <n v="163.29"/>
    <x v="2"/>
    <x v="2"/>
    <n v="0"/>
    <s v="REG100816"/>
    <s v="Cust 7004"/>
    <n v="21.15"/>
    <d v="2025-04-13T00:00:00"/>
    <d v="2025-04-22T00:00:00"/>
    <x v="1"/>
  </r>
  <r>
    <x v="550"/>
    <x v="3"/>
    <x v="2"/>
    <n v="5"/>
    <n v="538.52"/>
    <x v="0"/>
    <x v="0"/>
    <x v="3"/>
    <x v="1"/>
    <n v="2557.9699999999998"/>
    <x v="1"/>
    <x v="3"/>
    <n v="0"/>
    <s v="REG100817"/>
    <s v="Cust 4095"/>
    <n v="45.81"/>
    <d v="2024-06-11T00:00:00"/>
    <d v="2024-06-17T00:00:00"/>
    <x v="3"/>
  </r>
  <r>
    <x v="131"/>
    <x v="1"/>
    <x v="1"/>
    <n v="11"/>
    <n v="255.95"/>
    <x v="2"/>
    <x v="0"/>
    <x v="1"/>
    <x v="1"/>
    <n v="2533.9050000000002"/>
    <x v="0"/>
    <x v="3"/>
    <n v="0"/>
    <s v="REG100818"/>
    <s v="Cust 7833"/>
    <n v="21.99"/>
    <d v="2024-04-29T00:00:00"/>
    <d v="2024-05-04T00:00:00"/>
    <x v="1"/>
  </r>
  <r>
    <x v="340"/>
    <x v="1"/>
    <x v="2"/>
    <n v="7"/>
    <n v="290.22000000000003"/>
    <x v="1"/>
    <x v="1"/>
    <x v="1"/>
    <x v="1"/>
    <n v="1828.386"/>
    <x v="4"/>
    <x v="2"/>
    <n v="0"/>
    <s v="REG100819"/>
    <s v="Cust 5826"/>
    <n v="33.15"/>
    <d v="2023-03-27T00:00:00"/>
    <d v="2023-04-04T00:00:00"/>
    <x v="1"/>
  </r>
  <r>
    <x v="75"/>
    <x v="2"/>
    <x v="3"/>
    <n v="20"/>
    <n v="198.95"/>
    <x v="0"/>
    <x v="1"/>
    <x v="1"/>
    <x v="4"/>
    <n v="3581.1"/>
    <x v="2"/>
    <x v="3"/>
    <n v="1"/>
    <s v="REG100820"/>
    <s v="Cust 9410"/>
    <n v="5.16"/>
    <d v="2024-10-23T00:00:00"/>
    <d v="2024-10-25T00:00:00"/>
    <x v="2"/>
  </r>
  <r>
    <x v="522"/>
    <x v="2"/>
    <x v="6"/>
    <n v="11"/>
    <n v="577.1"/>
    <x v="2"/>
    <x v="1"/>
    <x v="2"/>
    <x v="2"/>
    <n v="5395.8850000000002"/>
    <x v="4"/>
    <x v="1"/>
    <n v="0"/>
    <s v="REG100821"/>
    <s v="Cust 9397"/>
    <n v="13.16"/>
    <d v="2023-06-21T00:00:00"/>
    <d v="2023-06-28T00:00:00"/>
    <x v="2"/>
  </r>
  <r>
    <x v="551"/>
    <x v="3"/>
    <x v="6"/>
    <n v="10"/>
    <n v="50.1"/>
    <x v="1"/>
    <x v="0"/>
    <x v="1"/>
    <x v="5"/>
    <n v="450.9"/>
    <x v="4"/>
    <x v="0"/>
    <n v="1"/>
    <s v="REG100822"/>
    <s v="Cust 6665"/>
    <n v="23.43"/>
    <d v="2023-05-12T00:00:00"/>
    <d v="2023-05-19T00:00:00"/>
    <x v="3"/>
  </r>
  <r>
    <x v="552"/>
    <x v="3"/>
    <x v="6"/>
    <n v="19"/>
    <n v="554.5"/>
    <x v="0"/>
    <x v="1"/>
    <x v="2"/>
    <x v="3"/>
    <n v="8955.1749999999993"/>
    <x v="0"/>
    <x v="3"/>
    <n v="1"/>
    <s v="REG100823"/>
    <s v="Cust 2590"/>
    <n v="47.16"/>
    <d v="2024-10-20T00:00:00"/>
    <d v="2024-10-24T00:00:00"/>
    <x v="3"/>
  </r>
  <r>
    <x v="553"/>
    <x v="2"/>
    <x v="0"/>
    <n v="14"/>
    <n v="117.31"/>
    <x v="1"/>
    <x v="0"/>
    <x v="0"/>
    <x v="4"/>
    <n v="1642.34"/>
    <x v="0"/>
    <x v="2"/>
    <n v="0"/>
    <s v="REG100824"/>
    <s v="Cust 4599"/>
    <n v="41.24"/>
    <d v="2024-04-04T00:00:00"/>
    <d v="2024-04-07T00:00:00"/>
    <x v="2"/>
  </r>
  <r>
    <x v="87"/>
    <x v="3"/>
    <x v="5"/>
    <n v="3"/>
    <n v="193.98"/>
    <x v="1"/>
    <x v="1"/>
    <x v="0"/>
    <x v="5"/>
    <n v="581.93999999999994"/>
    <x v="2"/>
    <x v="2"/>
    <n v="0"/>
    <s v="REG100825"/>
    <s v="Cust 7166"/>
    <n v="27.53"/>
    <d v="2025-01-12T00:00:00"/>
    <d v="2025-01-16T00:00:00"/>
    <x v="3"/>
  </r>
  <r>
    <x v="554"/>
    <x v="1"/>
    <x v="1"/>
    <n v="20"/>
    <n v="386.86"/>
    <x v="1"/>
    <x v="0"/>
    <x v="3"/>
    <x v="3"/>
    <n v="7350.34"/>
    <x v="0"/>
    <x v="2"/>
    <n v="0"/>
    <s v="REG100826"/>
    <s v="Cust 6177"/>
    <n v="41.56"/>
    <d v="2023-07-24T00:00:00"/>
    <d v="2023-07-29T00:00:00"/>
    <x v="1"/>
  </r>
  <r>
    <x v="507"/>
    <x v="2"/>
    <x v="3"/>
    <n v="12"/>
    <n v="81.33"/>
    <x v="3"/>
    <x v="0"/>
    <x v="0"/>
    <x v="3"/>
    <n v="975.96"/>
    <x v="4"/>
    <x v="1"/>
    <n v="1"/>
    <s v="REG100827"/>
    <s v="Cust 6229"/>
    <n v="30.73"/>
    <d v="2023-09-09T00:00:00"/>
    <d v="2023-09-13T00:00:00"/>
    <x v="2"/>
  </r>
  <r>
    <x v="528"/>
    <x v="0"/>
    <x v="6"/>
    <n v="5"/>
    <n v="550.65"/>
    <x v="1"/>
    <x v="1"/>
    <x v="2"/>
    <x v="5"/>
    <n v="2340.2624999999998"/>
    <x v="1"/>
    <x v="3"/>
    <n v="0"/>
    <s v="REG100828"/>
    <s v="Cust 2899"/>
    <n v="16.82"/>
    <d v="2024-04-20T00:00:00"/>
    <d v="2024-04-27T00:00:00"/>
    <x v="0"/>
  </r>
  <r>
    <x v="323"/>
    <x v="4"/>
    <x v="6"/>
    <n v="4"/>
    <n v="473.91"/>
    <x v="1"/>
    <x v="1"/>
    <x v="3"/>
    <x v="0"/>
    <n v="1800.8579999999999"/>
    <x v="2"/>
    <x v="1"/>
    <n v="0"/>
    <s v="REG100829"/>
    <s v="Cust 5322"/>
    <n v="29.22"/>
    <d v="2025-02-06T00:00:00"/>
    <d v="2025-02-14T00:00:00"/>
    <x v="4"/>
  </r>
  <r>
    <x v="391"/>
    <x v="4"/>
    <x v="5"/>
    <n v="19"/>
    <n v="25.22"/>
    <x v="2"/>
    <x v="0"/>
    <x v="0"/>
    <x v="5"/>
    <n v="479.17999999999989"/>
    <x v="2"/>
    <x v="3"/>
    <n v="0"/>
    <s v="REG100830"/>
    <s v="Cust 7063"/>
    <n v="31.31"/>
    <d v="2023-06-18T00:00:00"/>
    <d v="2023-06-22T00:00:00"/>
    <x v="4"/>
  </r>
  <r>
    <x v="501"/>
    <x v="2"/>
    <x v="1"/>
    <n v="2"/>
    <n v="437.04"/>
    <x v="2"/>
    <x v="0"/>
    <x v="0"/>
    <x v="2"/>
    <n v="874.08"/>
    <x v="2"/>
    <x v="1"/>
    <n v="1"/>
    <s v="REG100831"/>
    <s v="Cust 7487"/>
    <n v="37.369999999999997"/>
    <d v="2024-11-01T00:00:00"/>
    <d v="2024-11-08T00:00:00"/>
    <x v="2"/>
  </r>
  <r>
    <x v="305"/>
    <x v="4"/>
    <x v="2"/>
    <n v="5"/>
    <n v="448.86"/>
    <x v="2"/>
    <x v="0"/>
    <x v="2"/>
    <x v="2"/>
    <n v="1907.655"/>
    <x v="2"/>
    <x v="1"/>
    <n v="1"/>
    <s v="REG100832"/>
    <s v="Cust 5481"/>
    <n v="21.22"/>
    <d v="2024-08-12T00:00:00"/>
    <d v="2024-08-21T00:00:00"/>
    <x v="4"/>
  </r>
  <r>
    <x v="409"/>
    <x v="3"/>
    <x v="1"/>
    <n v="14"/>
    <n v="299.94"/>
    <x v="3"/>
    <x v="1"/>
    <x v="0"/>
    <x v="3"/>
    <n v="4199.16"/>
    <x v="1"/>
    <x v="0"/>
    <n v="0"/>
    <s v="REG100833"/>
    <s v="Cust 3150"/>
    <n v="21.04"/>
    <d v="2025-04-08T00:00:00"/>
    <d v="2025-04-17T00:00:00"/>
    <x v="3"/>
  </r>
  <r>
    <x v="555"/>
    <x v="3"/>
    <x v="0"/>
    <n v="8"/>
    <n v="224.18"/>
    <x v="0"/>
    <x v="1"/>
    <x v="2"/>
    <x v="5"/>
    <n v="1524.424"/>
    <x v="3"/>
    <x v="3"/>
    <n v="0"/>
    <s v="REG100834"/>
    <s v="Cust 5099"/>
    <n v="36.9"/>
    <d v="2024-07-20T00:00:00"/>
    <d v="2024-07-26T00:00:00"/>
    <x v="3"/>
  </r>
  <r>
    <x v="556"/>
    <x v="4"/>
    <x v="2"/>
    <n v="6"/>
    <n v="327.69"/>
    <x v="3"/>
    <x v="0"/>
    <x v="3"/>
    <x v="4"/>
    <n v="1867.8330000000001"/>
    <x v="4"/>
    <x v="3"/>
    <n v="0"/>
    <s v="REG100835"/>
    <s v="Cust 6615"/>
    <n v="22.34"/>
    <d v="2023-02-17T00:00:00"/>
    <d v="2023-02-21T00:00:00"/>
    <x v="4"/>
  </r>
  <r>
    <x v="557"/>
    <x v="0"/>
    <x v="1"/>
    <n v="8"/>
    <n v="432.27"/>
    <x v="3"/>
    <x v="1"/>
    <x v="3"/>
    <x v="0"/>
    <n v="3285.251999999999"/>
    <x v="4"/>
    <x v="0"/>
    <n v="1"/>
    <s v="REG100836"/>
    <s v="Cust 6924"/>
    <n v="20.64"/>
    <d v="2024-07-02T00:00:00"/>
    <d v="2024-07-04T00:00:00"/>
    <x v="0"/>
  </r>
  <r>
    <x v="159"/>
    <x v="2"/>
    <x v="4"/>
    <n v="4"/>
    <n v="249.98"/>
    <x v="2"/>
    <x v="1"/>
    <x v="2"/>
    <x v="0"/>
    <n v="849.9319999999999"/>
    <x v="3"/>
    <x v="1"/>
    <n v="0"/>
    <s v="REG100837"/>
    <s v="Cust 2411"/>
    <n v="49.08"/>
    <d v="2025-04-01T00:00:00"/>
    <d v="2025-04-04T00:00:00"/>
    <x v="2"/>
  </r>
  <r>
    <x v="558"/>
    <x v="1"/>
    <x v="6"/>
    <n v="14"/>
    <n v="194.31"/>
    <x v="2"/>
    <x v="0"/>
    <x v="2"/>
    <x v="2"/>
    <n v="2312.2890000000002"/>
    <x v="3"/>
    <x v="0"/>
    <n v="0"/>
    <s v="REG100838"/>
    <s v="Cust 9648"/>
    <n v="15.3"/>
    <d v="2025-06-02T00:00:00"/>
    <d v="2025-06-09T00:00:00"/>
    <x v="1"/>
  </r>
  <r>
    <x v="559"/>
    <x v="4"/>
    <x v="1"/>
    <n v="5"/>
    <n v="69.290000000000006"/>
    <x v="2"/>
    <x v="0"/>
    <x v="0"/>
    <x v="3"/>
    <n v="346.45"/>
    <x v="2"/>
    <x v="3"/>
    <n v="0"/>
    <s v="REG100839"/>
    <s v="Cust 1974"/>
    <n v="20.83"/>
    <d v="2024-11-21T00:00:00"/>
    <d v="2024-11-29T00:00:00"/>
    <x v="4"/>
  </r>
  <r>
    <x v="560"/>
    <x v="1"/>
    <x v="6"/>
    <n v="15"/>
    <n v="306.91000000000003"/>
    <x v="1"/>
    <x v="1"/>
    <x v="0"/>
    <x v="3"/>
    <n v="4603.6500000000005"/>
    <x v="4"/>
    <x v="0"/>
    <n v="1"/>
    <s v="REG100840"/>
    <s v="Cust 9452"/>
    <n v="19.38"/>
    <d v="2024-01-10T00:00:00"/>
    <d v="2024-01-14T00:00:00"/>
    <x v="1"/>
  </r>
  <r>
    <x v="72"/>
    <x v="2"/>
    <x v="2"/>
    <n v="4"/>
    <n v="390.3"/>
    <x v="1"/>
    <x v="1"/>
    <x v="2"/>
    <x v="4"/>
    <n v="1327.02"/>
    <x v="3"/>
    <x v="3"/>
    <n v="0"/>
    <s v="REG100841"/>
    <s v="Cust 4558"/>
    <n v="43.56"/>
    <d v="2023-10-21T00:00:00"/>
    <d v="2023-10-26T00:00:00"/>
    <x v="2"/>
  </r>
  <r>
    <x v="135"/>
    <x v="2"/>
    <x v="1"/>
    <n v="7"/>
    <n v="61.83"/>
    <x v="0"/>
    <x v="1"/>
    <x v="0"/>
    <x v="4"/>
    <n v="432.81"/>
    <x v="0"/>
    <x v="2"/>
    <n v="0"/>
    <s v="REG100842"/>
    <s v="Cust 8811"/>
    <n v="25.49"/>
    <d v="2025-01-20T00:00:00"/>
    <d v="2025-01-22T00:00:00"/>
    <x v="2"/>
  </r>
  <r>
    <x v="325"/>
    <x v="4"/>
    <x v="4"/>
    <n v="7"/>
    <n v="83.32"/>
    <x v="3"/>
    <x v="0"/>
    <x v="3"/>
    <x v="3"/>
    <n v="554.07799999999997"/>
    <x v="4"/>
    <x v="0"/>
    <n v="0"/>
    <s v="REG100843"/>
    <s v="Cust 7788"/>
    <n v="23.4"/>
    <d v="2024-11-09T00:00:00"/>
    <d v="2024-11-17T00:00:00"/>
    <x v="4"/>
  </r>
  <r>
    <x v="516"/>
    <x v="4"/>
    <x v="4"/>
    <n v="4"/>
    <n v="563.05999999999995"/>
    <x v="3"/>
    <x v="1"/>
    <x v="3"/>
    <x v="5"/>
    <n v="2139.6280000000002"/>
    <x v="4"/>
    <x v="2"/>
    <n v="0"/>
    <s v="REG100844"/>
    <s v="Cust 2788"/>
    <n v="19.5"/>
    <d v="2024-04-03T00:00:00"/>
    <d v="2024-04-07T00:00:00"/>
    <x v="4"/>
  </r>
  <r>
    <x v="561"/>
    <x v="2"/>
    <x v="1"/>
    <n v="13"/>
    <n v="256.35000000000002"/>
    <x v="3"/>
    <x v="0"/>
    <x v="2"/>
    <x v="1"/>
    <n v="2832.6675"/>
    <x v="4"/>
    <x v="1"/>
    <n v="0"/>
    <s v="REG100845"/>
    <s v="Cust 6621"/>
    <n v="26.04"/>
    <d v="2024-01-06T00:00:00"/>
    <d v="2024-01-08T00:00:00"/>
    <x v="2"/>
  </r>
  <r>
    <x v="562"/>
    <x v="3"/>
    <x v="6"/>
    <n v="9"/>
    <n v="303.26"/>
    <x v="1"/>
    <x v="0"/>
    <x v="3"/>
    <x v="4"/>
    <n v="2592.873"/>
    <x v="3"/>
    <x v="0"/>
    <n v="0"/>
    <s v="REG100846"/>
    <s v="Cust 8575"/>
    <n v="17.010000000000002"/>
    <d v="2023-08-02T00:00:00"/>
    <d v="2023-08-05T00:00:00"/>
    <x v="3"/>
  </r>
  <r>
    <x v="168"/>
    <x v="2"/>
    <x v="3"/>
    <n v="9"/>
    <n v="440.48"/>
    <x v="1"/>
    <x v="1"/>
    <x v="2"/>
    <x v="4"/>
    <n v="3369.672"/>
    <x v="1"/>
    <x v="2"/>
    <n v="0"/>
    <s v="REG100847"/>
    <s v="Cust 8799"/>
    <n v="32.94"/>
    <d v="2023-11-26T00:00:00"/>
    <d v="2023-12-01T00:00:00"/>
    <x v="2"/>
  </r>
  <r>
    <x v="248"/>
    <x v="0"/>
    <x v="2"/>
    <n v="17"/>
    <n v="469.25"/>
    <x v="0"/>
    <x v="0"/>
    <x v="3"/>
    <x v="5"/>
    <n v="7578.3874999999998"/>
    <x v="2"/>
    <x v="3"/>
    <n v="0"/>
    <s v="REG100848"/>
    <s v="Cust 1699"/>
    <n v="45.76"/>
    <d v="2025-04-20T00:00:00"/>
    <d v="2025-04-26T00:00:00"/>
    <x v="0"/>
  </r>
  <r>
    <x v="183"/>
    <x v="1"/>
    <x v="3"/>
    <n v="18"/>
    <n v="491.76"/>
    <x v="1"/>
    <x v="0"/>
    <x v="2"/>
    <x v="0"/>
    <n v="7523.9279999999999"/>
    <x v="2"/>
    <x v="1"/>
    <n v="0"/>
    <s v="REG100849"/>
    <s v="Cust 5606"/>
    <n v="37.49"/>
    <d v="2023-12-29T00:00:00"/>
    <d v="2024-01-05T00:00:00"/>
    <x v="1"/>
  </r>
  <r>
    <x v="304"/>
    <x v="3"/>
    <x v="3"/>
    <n v="19"/>
    <n v="465.27"/>
    <x v="2"/>
    <x v="1"/>
    <x v="3"/>
    <x v="4"/>
    <n v="8398.1234999999997"/>
    <x v="2"/>
    <x v="3"/>
    <n v="0"/>
    <s v="REG100850"/>
    <s v="Cust 4933"/>
    <n v="44.95"/>
    <d v="2025-01-08T00:00:00"/>
    <d v="2025-01-10T00:00:00"/>
    <x v="3"/>
  </r>
  <r>
    <x v="563"/>
    <x v="0"/>
    <x v="3"/>
    <n v="18"/>
    <n v="343.68"/>
    <x v="0"/>
    <x v="1"/>
    <x v="0"/>
    <x v="0"/>
    <n v="6186.24"/>
    <x v="1"/>
    <x v="1"/>
    <n v="0"/>
    <s v="REG100851"/>
    <s v="Cust 9517"/>
    <n v="20.37"/>
    <d v="2024-05-06T00:00:00"/>
    <d v="2024-05-14T00:00:00"/>
    <x v="0"/>
  </r>
  <r>
    <x v="564"/>
    <x v="2"/>
    <x v="2"/>
    <n v="14"/>
    <n v="472.51"/>
    <x v="3"/>
    <x v="0"/>
    <x v="3"/>
    <x v="5"/>
    <n v="6284.3829999999989"/>
    <x v="1"/>
    <x v="3"/>
    <n v="0"/>
    <s v="REG100852"/>
    <s v="Cust 6740"/>
    <n v="13.54"/>
    <d v="2024-09-15T00:00:00"/>
    <d v="2024-09-20T00:00:00"/>
    <x v="2"/>
  </r>
  <r>
    <x v="230"/>
    <x v="4"/>
    <x v="0"/>
    <n v="20"/>
    <n v="142.52000000000001"/>
    <x v="1"/>
    <x v="1"/>
    <x v="1"/>
    <x v="0"/>
    <n v="2565.36"/>
    <x v="4"/>
    <x v="0"/>
    <n v="0"/>
    <s v="REG100853"/>
    <s v="Cust 1301"/>
    <n v="30.67"/>
    <d v="2023-02-07T00:00:00"/>
    <d v="2023-02-12T00:00:00"/>
    <x v="4"/>
  </r>
  <r>
    <x v="565"/>
    <x v="0"/>
    <x v="1"/>
    <n v="1"/>
    <n v="31.42"/>
    <x v="0"/>
    <x v="1"/>
    <x v="3"/>
    <x v="5"/>
    <n v="29.849"/>
    <x v="2"/>
    <x v="1"/>
    <n v="0"/>
    <s v="REG100854"/>
    <s v="Cust 1736"/>
    <n v="11.35"/>
    <d v="2023-03-01T00:00:00"/>
    <d v="2023-03-09T00:00:00"/>
    <x v="0"/>
  </r>
  <r>
    <x v="336"/>
    <x v="2"/>
    <x v="5"/>
    <n v="17"/>
    <n v="572.29"/>
    <x v="3"/>
    <x v="1"/>
    <x v="2"/>
    <x v="0"/>
    <n v="8269.5905000000002"/>
    <x v="0"/>
    <x v="1"/>
    <n v="1"/>
    <s v="REG100855"/>
    <s v="Cust 6864"/>
    <n v="44.99"/>
    <d v="2024-05-08T00:00:00"/>
    <d v="2024-05-12T00:00:00"/>
    <x v="2"/>
  </r>
  <r>
    <x v="566"/>
    <x v="0"/>
    <x v="2"/>
    <n v="18"/>
    <n v="333.6"/>
    <x v="1"/>
    <x v="1"/>
    <x v="1"/>
    <x v="3"/>
    <n v="5404.3200000000006"/>
    <x v="3"/>
    <x v="0"/>
    <n v="1"/>
    <s v="REG100856"/>
    <s v="Cust 5207"/>
    <n v="33.79"/>
    <d v="2024-06-06T00:00:00"/>
    <d v="2024-06-08T00:00:00"/>
    <x v="0"/>
  </r>
  <r>
    <x v="431"/>
    <x v="2"/>
    <x v="3"/>
    <n v="9"/>
    <n v="90.87"/>
    <x v="3"/>
    <x v="1"/>
    <x v="2"/>
    <x v="3"/>
    <n v="695.15549999999996"/>
    <x v="3"/>
    <x v="2"/>
    <n v="0"/>
    <s v="REG100857"/>
    <s v="Cust 6525"/>
    <n v="26.56"/>
    <d v="2023-04-29T00:00:00"/>
    <d v="2023-05-08T00:00:00"/>
    <x v="2"/>
  </r>
  <r>
    <x v="567"/>
    <x v="3"/>
    <x v="5"/>
    <n v="9"/>
    <n v="588.59"/>
    <x v="3"/>
    <x v="0"/>
    <x v="3"/>
    <x v="4"/>
    <n v="5032.4445000000014"/>
    <x v="0"/>
    <x v="3"/>
    <n v="0"/>
    <s v="REG100858"/>
    <s v="Cust 8298"/>
    <n v="42.3"/>
    <d v="2023-09-20T00:00:00"/>
    <d v="2023-09-22T00:00:00"/>
    <x v="3"/>
  </r>
  <r>
    <x v="137"/>
    <x v="1"/>
    <x v="3"/>
    <n v="18"/>
    <n v="153.28"/>
    <x v="0"/>
    <x v="1"/>
    <x v="3"/>
    <x v="2"/>
    <n v="2621.0880000000002"/>
    <x v="0"/>
    <x v="2"/>
    <n v="1"/>
    <s v="REG100859"/>
    <s v="Cust 8204"/>
    <n v="33.71"/>
    <d v="2024-11-08T00:00:00"/>
    <d v="2024-11-13T00:00:00"/>
    <x v="1"/>
  </r>
  <r>
    <x v="568"/>
    <x v="2"/>
    <x v="6"/>
    <n v="17"/>
    <n v="194.97"/>
    <x v="1"/>
    <x v="1"/>
    <x v="2"/>
    <x v="3"/>
    <n v="2817.3164999999999"/>
    <x v="1"/>
    <x v="1"/>
    <n v="1"/>
    <s v="REG100860"/>
    <s v="Cust 4035"/>
    <n v="5.59"/>
    <d v="2023-03-22T00:00:00"/>
    <d v="2023-03-30T00:00:00"/>
    <x v="2"/>
  </r>
  <r>
    <x v="569"/>
    <x v="0"/>
    <x v="4"/>
    <n v="5"/>
    <n v="367.61"/>
    <x v="2"/>
    <x v="1"/>
    <x v="0"/>
    <x v="1"/>
    <n v="1838.05"/>
    <x v="2"/>
    <x v="1"/>
    <n v="0"/>
    <s v="REG100861"/>
    <s v="Cust 1654"/>
    <n v="19.55"/>
    <d v="2023-09-05T00:00:00"/>
    <d v="2023-09-13T00:00:00"/>
    <x v="0"/>
  </r>
  <r>
    <x v="16"/>
    <x v="0"/>
    <x v="0"/>
    <n v="17"/>
    <n v="575.5"/>
    <x v="3"/>
    <x v="1"/>
    <x v="3"/>
    <x v="1"/>
    <n v="9294.3249999999989"/>
    <x v="3"/>
    <x v="0"/>
    <n v="0"/>
    <s v="REG100862"/>
    <s v="Cust 1823"/>
    <n v="13.42"/>
    <d v="2023-02-26T00:00:00"/>
    <d v="2023-03-05T00:00:00"/>
    <x v="0"/>
  </r>
  <r>
    <x v="570"/>
    <x v="4"/>
    <x v="3"/>
    <n v="3"/>
    <n v="229.45"/>
    <x v="3"/>
    <x v="1"/>
    <x v="2"/>
    <x v="5"/>
    <n v="585.09749999999985"/>
    <x v="3"/>
    <x v="2"/>
    <n v="1"/>
    <s v="REG100863"/>
    <s v="Cust 1423"/>
    <n v="19.809999999999999"/>
    <d v="2024-11-26T00:00:00"/>
    <d v="2024-11-29T00:00:00"/>
    <x v="4"/>
  </r>
  <r>
    <x v="571"/>
    <x v="3"/>
    <x v="3"/>
    <n v="3"/>
    <n v="391.63"/>
    <x v="2"/>
    <x v="1"/>
    <x v="0"/>
    <x v="2"/>
    <n v="1174.8900000000001"/>
    <x v="3"/>
    <x v="3"/>
    <n v="1"/>
    <s v="REG100864"/>
    <s v="Cust 7282"/>
    <n v="25.36"/>
    <d v="2024-10-14T00:00:00"/>
    <d v="2024-10-17T00:00:00"/>
    <x v="3"/>
  </r>
  <r>
    <x v="572"/>
    <x v="3"/>
    <x v="0"/>
    <n v="15"/>
    <n v="67.349999999999994"/>
    <x v="3"/>
    <x v="0"/>
    <x v="1"/>
    <x v="4"/>
    <n v="909.22499999999991"/>
    <x v="0"/>
    <x v="0"/>
    <n v="0"/>
    <s v="REG100865"/>
    <s v="Cust 8437"/>
    <n v="24.85"/>
    <d v="2023-05-29T00:00:00"/>
    <d v="2023-06-03T00:00:00"/>
    <x v="3"/>
  </r>
  <r>
    <x v="124"/>
    <x v="3"/>
    <x v="0"/>
    <n v="6"/>
    <n v="453.86"/>
    <x v="0"/>
    <x v="1"/>
    <x v="2"/>
    <x v="1"/>
    <n v="2314.6860000000001"/>
    <x v="2"/>
    <x v="3"/>
    <n v="0"/>
    <s v="REG100866"/>
    <s v="Cust 9508"/>
    <n v="45.32"/>
    <d v="2024-03-22T00:00:00"/>
    <d v="2024-03-31T00:00:00"/>
    <x v="3"/>
  </r>
  <r>
    <x v="573"/>
    <x v="1"/>
    <x v="5"/>
    <n v="19"/>
    <n v="537.70000000000005"/>
    <x v="3"/>
    <x v="0"/>
    <x v="0"/>
    <x v="5"/>
    <n v="10216.299999999999"/>
    <x v="0"/>
    <x v="1"/>
    <n v="0"/>
    <s v="REG100867"/>
    <s v="Cust 1186"/>
    <n v="45.83"/>
    <d v="2023-04-22T00:00:00"/>
    <d v="2023-05-02T00:00:00"/>
    <x v="1"/>
  </r>
  <r>
    <x v="472"/>
    <x v="2"/>
    <x v="1"/>
    <n v="5"/>
    <n v="32.56"/>
    <x v="2"/>
    <x v="1"/>
    <x v="3"/>
    <x v="4"/>
    <n v="154.66"/>
    <x v="4"/>
    <x v="0"/>
    <n v="0"/>
    <s v="REG100868"/>
    <s v="Cust 4362"/>
    <n v="46.73"/>
    <d v="2025-06-06T00:00:00"/>
    <d v="2025-06-12T00:00:00"/>
    <x v="2"/>
  </r>
  <r>
    <x v="232"/>
    <x v="3"/>
    <x v="0"/>
    <n v="2"/>
    <n v="196.7"/>
    <x v="1"/>
    <x v="1"/>
    <x v="0"/>
    <x v="2"/>
    <n v="393.4"/>
    <x v="0"/>
    <x v="0"/>
    <n v="0"/>
    <s v="REG100869"/>
    <s v="Cust 9388"/>
    <n v="35.840000000000003"/>
    <d v="2023-01-25T00:00:00"/>
    <d v="2023-01-29T00:00:00"/>
    <x v="3"/>
  </r>
  <r>
    <x v="247"/>
    <x v="1"/>
    <x v="1"/>
    <n v="12"/>
    <n v="369.45"/>
    <x v="3"/>
    <x v="0"/>
    <x v="1"/>
    <x v="2"/>
    <n v="3990.06"/>
    <x v="2"/>
    <x v="2"/>
    <n v="1"/>
    <s v="REG100870"/>
    <s v="Cust 4015"/>
    <n v="44.76"/>
    <d v="2023-09-08T00:00:00"/>
    <d v="2023-09-10T00:00:00"/>
    <x v="1"/>
  </r>
  <r>
    <x v="574"/>
    <x v="0"/>
    <x v="5"/>
    <n v="12"/>
    <n v="181.96"/>
    <x v="3"/>
    <x v="1"/>
    <x v="2"/>
    <x v="0"/>
    <n v="1855.992"/>
    <x v="1"/>
    <x v="2"/>
    <n v="0"/>
    <s v="REG100871"/>
    <s v="Cust 6428"/>
    <n v="25.06"/>
    <d v="2024-10-04T00:00:00"/>
    <d v="2024-10-11T00:00:00"/>
    <x v="0"/>
  </r>
  <r>
    <x v="575"/>
    <x v="0"/>
    <x v="2"/>
    <n v="3"/>
    <n v="32.07"/>
    <x v="3"/>
    <x v="1"/>
    <x v="2"/>
    <x v="1"/>
    <n v="81.778500000000008"/>
    <x v="0"/>
    <x v="2"/>
    <n v="1"/>
    <s v="REG100872"/>
    <s v="Cust 2570"/>
    <n v="43.18"/>
    <d v="2025-04-06T00:00:00"/>
    <d v="2025-04-08T00:00:00"/>
    <x v="0"/>
  </r>
  <r>
    <x v="225"/>
    <x v="0"/>
    <x v="0"/>
    <n v="15"/>
    <n v="39.93"/>
    <x v="1"/>
    <x v="1"/>
    <x v="2"/>
    <x v="4"/>
    <n v="509.10750000000002"/>
    <x v="3"/>
    <x v="2"/>
    <n v="0"/>
    <s v="REG100873"/>
    <s v="Cust 5132"/>
    <n v="33.44"/>
    <d v="2024-08-25T00:00:00"/>
    <d v="2024-08-29T00:00:00"/>
    <x v="0"/>
  </r>
  <r>
    <x v="491"/>
    <x v="2"/>
    <x v="1"/>
    <n v="7"/>
    <n v="374.43"/>
    <x v="1"/>
    <x v="1"/>
    <x v="2"/>
    <x v="3"/>
    <n v="2227.8584999999998"/>
    <x v="4"/>
    <x v="1"/>
    <n v="0"/>
    <s v="REG100874"/>
    <s v="Cust 4929"/>
    <n v="28.97"/>
    <d v="2024-03-06T00:00:00"/>
    <d v="2024-03-12T00:00:00"/>
    <x v="2"/>
  </r>
  <r>
    <x v="433"/>
    <x v="0"/>
    <x v="6"/>
    <n v="2"/>
    <n v="101.87"/>
    <x v="2"/>
    <x v="0"/>
    <x v="0"/>
    <x v="4"/>
    <n v="203.74"/>
    <x v="4"/>
    <x v="0"/>
    <n v="0"/>
    <s v="REG100875"/>
    <s v="Cust 4018"/>
    <n v="28.63"/>
    <d v="2023-03-23T00:00:00"/>
    <d v="2023-03-26T00:00:00"/>
    <x v="0"/>
  </r>
  <r>
    <x v="576"/>
    <x v="3"/>
    <x v="5"/>
    <n v="13"/>
    <n v="343.45"/>
    <x v="3"/>
    <x v="0"/>
    <x v="3"/>
    <x v="1"/>
    <n v="4241.6074999999992"/>
    <x v="1"/>
    <x v="1"/>
    <n v="0"/>
    <s v="REG100876"/>
    <s v="Cust 8069"/>
    <n v="27.26"/>
    <d v="2024-01-13T00:00:00"/>
    <d v="2024-01-17T00:00:00"/>
    <x v="3"/>
  </r>
  <r>
    <x v="338"/>
    <x v="3"/>
    <x v="6"/>
    <n v="15"/>
    <n v="144.11000000000001"/>
    <x v="2"/>
    <x v="1"/>
    <x v="0"/>
    <x v="2"/>
    <n v="2161.65"/>
    <x v="1"/>
    <x v="3"/>
    <n v="0"/>
    <s v="REG100877"/>
    <s v="Cust 6741"/>
    <n v="28.51"/>
    <d v="2023-07-18T00:00:00"/>
    <d v="2023-07-24T00:00:00"/>
    <x v="3"/>
  </r>
  <r>
    <x v="577"/>
    <x v="4"/>
    <x v="3"/>
    <n v="18"/>
    <n v="403.68"/>
    <x v="1"/>
    <x v="1"/>
    <x v="2"/>
    <x v="3"/>
    <n v="6176.3040000000001"/>
    <x v="4"/>
    <x v="0"/>
    <n v="0"/>
    <s v="REG100878"/>
    <s v="Cust 8050"/>
    <n v="13.09"/>
    <d v="2025-02-23T00:00:00"/>
    <d v="2025-03-04T00:00:00"/>
    <x v="4"/>
  </r>
  <r>
    <x v="429"/>
    <x v="0"/>
    <x v="6"/>
    <n v="14"/>
    <n v="346.57"/>
    <x v="0"/>
    <x v="1"/>
    <x v="1"/>
    <x v="3"/>
    <n v="4366.7820000000002"/>
    <x v="3"/>
    <x v="0"/>
    <n v="0"/>
    <s v="REG100879"/>
    <s v="Cust 2434"/>
    <n v="36.83"/>
    <d v="2023-02-22T00:00:00"/>
    <d v="2023-03-02T00:00:00"/>
    <x v="0"/>
  </r>
  <r>
    <x v="578"/>
    <x v="2"/>
    <x v="6"/>
    <n v="7"/>
    <n v="392.79"/>
    <x v="2"/>
    <x v="0"/>
    <x v="0"/>
    <x v="0"/>
    <n v="2749.53"/>
    <x v="1"/>
    <x v="2"/>
    <n v="0"/>
    <s v="REG100880"/>
    <s v="Cust 9089"/>
    <n v="45.85"/>
    <d v="2024-10-18T00:00:00"/>
    <d v="2024-10-28T00:00:00"/>
    <x v="2"/>
  </r>
  <r>
    <x v="71"/>
    <x v="4"/>
    <x v="6"/>
    <n v="16"/>
    <n v="70.83"/>
    <x v="0"/>
    <x v="0"/>
    <x v="3"/>
    <x v="3"/>
    <n v="1076.616"/>
    <x v="1"/>
    <x v="3"/>
    <n v="0"/>
    <s v="REG100881"/>
    <s v="Cust 1091"/>
    <n v="5.05"/>
    <d v="2023-10-26T00:00:00"/>
    <d v="2023-10-31T00:00:00"/>
    <x v="4"/>
  </r>
  <r>
    <x v="579"/>
    <x v="3"/>
    <x v="4"/>
    <n v="20"/>
    <n v="274.37"/>
    <x v="0"/>
    <x v="1"/>
    <x v="1"/>
    <x v="0"/>
    <n v="4938.66"/>
    <x v="1"/>
    <x v="2"/>
    <n v="0"/>
    <s v="REG100882"/>
    <s v="Cust 6138"/>
    <n v="12.28"/>
    <d v="2023-01-10T00:00:00"/>
    <d v="2023-01-14T00:00:00"/>
    <x v="3"/>
  </r>
  <r>
    <x v="422"/>
    <x v="3"/>
    <x v="2"/>
    <n v="10"/>
    <n v="19.73"/>
    <x v="3"/>
    <x v="1"/>
    <x v="1"/>
    <x v="3"/>
    <n v="177.57"/>
    <x v="3"/>
    <x v="3"/>
    <n v="0"/>
    <s v="REG100883"/>
    <s v="Cust 6326"/>
    <n v="16.059999999999999"/>
    <d v="2024-03-19T00:00:00"/>
    <d v="2024-03-22T00:00:00"/>
    <x v="3"/>
  </r>
  <r>
    <x v="580"/>
    <x v="3"/>
    <x v="6"/>
    <n v="10"/>
    <n v="465.72"/>
    <x v="0"/>
    <x v="0"/>
    <x v="3"/>
    <x v="1"/>
    <n v="4424.34"/>
    <x v="0"/>
    <x v="0"/>
    <n v="0"/>
    <s v="REG100884"/>
    <s v="Cust 1327"/>
    <n v="28.14"/>
    <d v="2023-12-20T00:00:00"/>
    <d v="2023-12-26T00:00:00"/>
    <x v="3"/>
  </r>
  <r>
    <x v="531"/>
    <x v="3"/>
    <x v="4"/>
    <n v="19"/>
    <n v="62.07"/>
    <x v="3"/>
    <x v="1"/>
    <x v="1"/>
    <x v="4"/>
    <n v="1061.3969999999999"/>
    <x v="3"/>
    <x v="0"/>
    <n v="0"/>
    <s v="REG100885"/>
    <s v="Cust 8602"/>
    <n v="14.85"/>
    <d v="2024-12-09T00:00:00"/>
    <d v="2024-12-19T00:00:00"/>
    <x v="3"/>
  </r>
  <r>
    <x v="2"/>
    <x v="3"/>
    <x v="5"/>
    <n v="11"/>
    <n v="529.20000000000005"/>
    <x v="1"/>
    <x v="0"/>
    <x v="3"/>
    <x v="5"/>
    <n v="5530.14"/>
    <x v="2"/>
    <x v="3"/>
    <n v="1"/>
    <s v="REG100886"/>
    <s v="Cust 9131"/>
    <n v="16.78"/>
    <d v="2023-05-10T00:00:00"/>
    <d v="2023-05-20T00:00:00"/>
    <x v="3"/>
  </r>
  <r>
    <x v="90"/>
    <x v="1"/>
    <x v="4"/>
    <n v="7"/>
    <n v="387.31"/>
    <x v="1"/>
    <x v="1"/>
    <x v="1"/>
    <x v="5"/>
    <n v="2440.0529999999999"/>
    <x v="4"/>
    <x v="2"/>
    <n v="0"/>
    <s v="REG100887"/>
    <s v="Cust 6716"/>
    <n v="14.76"/>
    <d v="2023-10-18T00:00:00"/>
    <d v="2023-10-21T00:00:00"/>
    <x v="1"/>
  </r>
  <r>
    <x v="581"/>
    <x v="1"/>
    <x v="1"/>
    <n v="1"/>
    <n v="152.75"/>
    <x v="1"/>
    <x v="0"/>
    <x v="0"/>
    <x v="5"/>
    <n v="152.75"/>
    <x v="2"/>
    <x v="0"/>
    <n v="1"/>
    <s v="REG100888"/>
    <s v="Cust 2071"/>
    <n v="9.61"/>
    <d v="2024-12-03T00:00:00"/>
    <d v="2024-12-06T00:00:00"/>
    <x v="1"/>
  </r>
  <r>
    <x v="268"/>
    <x v="1"/>
    <x v="3"/>
    <n v="8"/>
    <n v="72.48"/>
    <x v="1"/>
    <x v="0"/>
    <x v="1"/>
    <x v="3"/>
    <n v="521.85599999999999"/>
    <x v="3"/>
    <x v="3"/>
    <n v="1"/>
    <s v="REG100889"/>
    <s v="Cust 4472"/>
    <n v="26.92"/>
    <d v="2024-10-10T00:00:00"/>
    <d v="2024-10-17T00:00:00"/>
    <x v="1"/>
  </r>
  <r>
    <x v="189"/>
    <x v="0"/>
    <x v="1"/>
    <n v="4"/>
    <n v="194.09"/>
    <x v="3"/>
    <x v="0"/>
    <x v="1"/>
    <x v="0"/>
    <n v="698.72400000000005"/>
    <x v="2"/>
    <x v="2"/>
    <n v="0"/>
    <s v="REG100890"/>
    <s v="Cust 3899"/>
    <n v="26.35"/>
    <d v="2024-06-03T00:00:00"/>
    <d v="2024-06-07T00:00:00"/>
    <x v="0"/>
  </r>
  <r>
    <x v="582"/>
    <x v="1"/>
    <x v="1"/>
    <n v="3"/>
    <n v="159.30000000000001"/>
    <x v="0"/>
    <x v="0"/>
    <x v="3"/>
    <x v="0"/>
    <n v="454.005"/>
    <x v="2"/>
    <x v="1"/>
    <n v="1"/>
    <s v="REG100891"/>
    <s v="Cust 9467"/>
    <n v="45.34"/>
    <d v="2025-03-26T00:00:00"/>
    <d v="2025-03-29T00:00:00"/>
    <x v="1"/>
  </r>
  <r>
    <x v="478"/>
    <x v="2"/>
    <x v="4"/>
    <n v="4"/>
    <n v="303.37"/>
    <x v="1"/>
    <x v="1"/>
    <x v="1"/>
    <x v="3"/>
    <n v="1092.1320000000001"/>
    <x v="1"/>
    <x v="2"/>
    <n v="0"/>
    <s v="REG100892"/>
    <s v="Cust 3824"/>
    <n v="30.19"/>
    <d v="2024-04-26T00:00:00"/>
    <d v="2024-05-01T00:00:00"/>
    <x v="2"/>
  </r>
  <r>
    <x v="583"/>
    <x v="4"/>
    <x v="3"/>
    <n v="16"/>
    <n v="541.96"/>
    <x v="2"/>
    <x v="1"/>
    <x v="1"/>
    <x v="0"/>
    <n v="7804.2240000000011"/>
    <x v="4"/>
    <x v="1"/>
    <n v="1"/>
    <s v="REG100893"/>
    <s v="Cust 3511"/>
    <n v="9.93"/>
    <d v="2023-05-05T00:00:00"/>
    <d v="2023-05-13T00:00:00"/>
    <x v="4"/>
  </r>
  <r>
    <x v="584"/>
    <x v="4"/>
    <x v="2"/>
    <n v="7"/>
    <n v="41.57"/>
    <x v="3"/>
    <x v="1"/>
    <x v="0"/>
    <x v="3"/>
    <n v="290.99"/>
    <x v="0"/>
    <x v="3"/>
    <n v="0"/>
    <s v="REG100894"/>
    <s v="Cust 3356"/>
    <n v="16.59"/>
    <d v="2023-09-23T00:00:00"/>
    <d v="2023-09-29T00:00:00"/>
    <x v="4"/>
  </r>
  <r>
    <x v="251"/>
    <x v="1"/>
    <x v="4"/>
    <n v="16"/>
    <n v="217.74"/>
    <x v="1"/>
    <x v="0"/>
    <x v="2"/>
    <x v="2"/>
    <n v="2961.2640000000001"/>
    <x v="4"/>
    <x v="0"/>
    <n v="1"/>
    <s v="REG100895"/>
    <s v="Cust 2840"/>
    <n v="25.11"/>
    <d v="2025-03-08T00:00:00"/>
    <d v="2025-03-15T00:00:00"/>
    <x v="1"/>
  </r>
  <r>
    <x v="585"/>
    <x v="2"/>
    <x v="6"/>
    <n v="15"/>
    <n v="19.170000000000002"/>
    <x v="1"/>
    <x v="0"/>
    <x v="0"/>
    <x v="3"/>
    <n v="287.55"/>
    <x v="1"/>
    <x v="0"/>
    <n v="1"/>
    <s v="REG100896"/>
    <s v="Cust 3811"/>
    <n v="48.93"/>
    <d v="2023-01-17T00:00:00"/>
    <d v="2023-01-27T00:00:00"/>
    <x v="2"/>
  </r>
  <r>
    <x v="431"/>
    <x v="3"/>
    <x v="4"/>
    <n v="15"/>
    <n v="293.33999999999997"/>
    <x v="3"/>
    <x v="1"/>
    <x v="1"/>
    <x v="0"/>
    <n v="3960.09"/>
    <x v="2"/>
    <x v="2"/>
    <n v="0"/>
    <s v="REG100897"/>
    <s v="Cust 9960"/>
    <n v="21.03"/>
    <d v="2023-04-29T00:00:00"/>
    <d v="2023-05-01T00:00:00"/>
    <x v="3"/>
  </r>
  <r>
    <x v="586"/>
    <x v="1"/>
    <x v="6"/>
    <n v="18"/>
    <n v="204.58"/>
    <x v="2"/>
    <x v="1"/>
    <x v="1"/>
    <x v="4"/>
    <n v="3314.1959999999999"/>
    <x v="4"/>
    <x v="3"/>
    <n v="0"/>
    <s v="REG100898"/>
    <s v="Cust 5906"/>
    <n v="16.04"/>
    <d v="2025-02-16T00:00:00"/>
    <d v="2025-02-22T00:00:00"/>
    <x v="1"/>
  </r>
  <r>
    <x v="587"/>
    <x v="0"/>
    <x v="6"/>
    <n v="15"/>
    <n v="324.58"/>
    <x v="1"/>
    <x v="1"/>
    <x v="2"/>
    <x v="4"/>
    <n v="4138.3950000000004"/>
    <x v="3"/>
    <x v="3"/>
    <n v="0"/>
    <s v="REG100899"/>
    <s v="Cust 6579"/>
    <n v="24.57"/>
    <d v="2023-06-05T00:00:00"/>
    <d v="2023-06-09T00:00:00"/>
    <x v="0"/>
  </r>
  <r>
    <x v="228"/>
    <x v="1"/>
    <x v="1"/>
    <n v="11"/>
    <n v="393.61"/>
    <x v="3"/>
    <x v="0"/>
    <x v="3"/>
    <x v="2"/>
    <n v="4113.2245000000003"/>
    <x v="3"/>
    <x v="2"/>
    <n v="0"/>
    <s v="REG100900"/>
    <s v="Cust 1756"/>
    <n v="32.57"/>
    <d v="2023-08-28T00:00:00"/>
    <d v="2023-09-06T00:00:00"/>
    <x v="1"/>
  </r>
  <r>
    <x v="588"/>
    <x v="2"/>
    <x v="6"/>
    <n v="8"/>
    <n v="141.28"/>
    <x v="3"/>
    <x v="0"/>
    <x v="3"/>
    <x v="2"/>
    <n v="1073.7280000000001"/>
    <x v="0"/>
    <x v="0"/>
    <n v="0"/>
    <s v="REG100901"/>
    <s v="Cust 8150"/>
    <n v="28.69"/>
    <d v="2023-08-01T00:00:00"/>
    <d v="2023-08-10T00:00:00"/>
    <x v="2"/>
  </r>
  <r>
    <x v="149"/>
    <x v="4"/>
    <x v="1"/>
    <n v="13"/>
    <n v="227.64"/>
    <x v="2"/>
    <x v="1"/>
    <x v="2"/>
    <x v="2"/>
    <n v="2515.422"/>
    <x v="4"/>
    <x v="0"/>
    <n v="1"/>
    <s v="REG100902"/>
    <s v="Cust 8999"/>
    <n v="46.67"/>
    <d v="2025-02-12T00:00:00"/>
    <d v="2025-02-20T00:00:00"/>
    <x v="4"/>
  </r>
  <r>
    <x v="318"/>
    <x v="3"/>
    <x v="0"/>
    <n v="19"/>
    <n v="341.07"/>
    <x v="2"/>
    <x v="1"/>
    <x v="1"/>
    <x v="3"/>
    <n v="5832.2969999999996"/>
    <x v="4"/>
    <x v="2"/>
    <n v="0"/>
    <s v="REG100903"/>
    <s v="Cust 4277"/>
    <n v="47.75"/>
    <d v="2023-07-03T00:00:00"/>
    <d v="2023-07-06T00:00:00"/>
    <x v="3"/>
  </r>
  <r>
    <x v="589"/>
    <x v="3"/>
    <x v="1"/>
    <n v="20"/>
    <n v="324.55"/>
    <x v="0"/>
    <x v="0"/>
    <x v="3"/>
    <x v="0"/>
    <n v="6166.45"/>
    <x v="2"/>
    <x v="2"/>
    <n v="1"/>
    <s v="REG100904"/>
    <s v="Cust 8751"/>
    <n v="21.21"/>
    <d v="2025-05-09T00:00:00"/>
    <d v="2025-05-13T00:00:00"/>
    <x v="3"/>
  </r>
  <r>
    <x v="458"/>
    <x v="4"/>
    <x v="2"/>
    <n v="16"/>
    <n v="301.07"/>
    <x v="0"/>
    <x v="1"/>
    <x v="1"/>
    <x v="3"/>
    <n v="4335.4080000000004"/>
    <x v="1"/>
    <x v="2"/>
    <n v="0"/>
    <s v="REG100905"/>
    <s v="Cust 2482"/>
    <n v="5.58"/>
    <d v="2024-05-05T00:00:00"/>
    <d v="2024-05-14T00:00:00"/>
    <x v="4"/>
  </r>
  <r>
    <x v="590"/>
    <x v="1"/>
    <x v="4"/>
    <n v="13"/>
    <n v="285.27999999999997"/>
    <x v="3"/>
    <x v="1"/>
    <x v="0"/>
    <x v="0"/>
    <n v="3708.639999999999"/>
    <x v="1"/>
    <x v="1"/>
    <n v="0"/>
    <s v="REG100906"/>
    <s v="Cust 4078"/>
    <n v="31.2"/>
    <d v="2024-01-08T00:00:00"/>
    <d v="2024-01-15T00:00:00"/>
    <x v="1"/>
  </r>
  <r>
    <x v="427"/>
    <x v="1"/>
    <x v="1"/>
    <n v="15"/>
    <n v="18.04"/>
    <x v="2"/>
    <x v="0"/>
    <x v="0"/>
    <x v="0"/>
    <n v="270.60000000000002"/>
    <x v="2"/>
    <x v="1"/>
    <n v="1"/>
    <s v="REG100907"/>
    <s v="Cust 9091"/>
    <n v="14.35"/>
    <d v="2025-01-13T00:00:00"/>
    <d v="2025-01-17T00:00:00"/>
    <x v="1"/>
  </r>
  <r>
    <x v="103"/>
    <x v="0"/>
    <x v="6"/>
    <n v="11"/>
    <n v="495.44"/>
    <x v="1"/>
    <x v="0"/>
    <x v="0"/>
    <x v="5"/>
    <n v="5449.84"/>
    <x v="1"/>
    <x v="0"/>
    <n v="0"/>
    <s v="REG100908"/>
    <s v="Cust 8706"/>
    <n v="44.77"/>
    <d v="2025-06-12T00:00:00"/>
    <d v="2025-06-18T00:00:00"/>
    <x v="0"/>
  </r>
  <r>
    <x v="591"/>
    <x v="2"/>
    <x v="0"/>
    <n v="12"/>
    <n v="276.42"/>
    <x v="2"/>
    <x v="1"/>
    <x v="2"/>
    <x v="3"/>
    <n v="2819.4839999999999"/>
    <x v="0"/>
    <x v="3"/>
    <n v="0"/>
    <s v="REG100909"/>
    <s v="Cust 5042"/>
    <n v="30.57"/>
    <d v="2025-04-03T00:00:00"/>
    <d v="2025-04-12T00:00:00"/>
    <x v="2"/>
  </r>
  <r>
    <x v="592"/>
    <x v="3"/>
    <x v="2"/>
    <n v="7"/>
    <n v="228.32"/>
    <x v="2"/>
    <x v="0"/>
    <x v="2"/>
    <x v="0"/>
    <n v="1358.5039999999999"/>
    <x v="3"/>
    <x v="0"/>
    <n v="0"/>
    <s v="REG100910"/>
    <s v="Cust 3319"/>
    <n v="22.16"/>
    <d v="2023-01-26T00:00:00"/>
    <d v="2023-01-30T00:00:00"/>
    <x v="3"/>
  </r>
  <r>
    <x v="455"/>
    <x v="3"/>
    <x v="4"/>
    <n v="1"/>
    <n v="498.19"/>
    <x v="1"/>
    <x v="0"/>
    <x v="1"/>
    <x v="5"/>
    <n v="448.37099999999998"/>
    <x v="1"/>
    <x v="1"/>
    <n v="0"/>
    <s v="REG100911"/>
    <s v="Cust 4139"/>
    <n v="25.55"/>
    <d v="2023-01-07T00:00:00"/>
    <d v="2023-01-11T00:00:00"/>
    <x v="3"/>
  </r>
  <r>
    <x v="593"/>
    <x v="2"/>
    <x v="2"/>
    <n v="18"/>
    <n v="375.83"/>
    <x v="2"/>
    <x v="1"/>
    <x v="1"/>
    <x v="3"/>
    <n v="6088.4459999999999"/>
    <x v="1"/>
    <x v="3"/>
    <n v="0"/>
    <s v="REG100912"/>
    <s v="Cust 6993"/>
    <n v="15.13"/>
    <d v="2025-01-15T00:00:00"/>
    <d v="2025-01-23T00:00:00"/>
    <x v="2"/>
  </r>
  <r>
    <x v="594"/>
    <x v="0"/>
    <x v="3"/>
    <n v="18"/>
    <n v="130.36000000000001"/>
    <x v="0"/>
    <x v="0"/>
    <x v="0"/>
    <x v="4"/>
    <n v="2346.48"/>
    <x v="3"/>
    <x v="1"/>
    <n v="0"/>
    <s v="REG100913"/>
    <s v="Cust 8397"/>
    <n v="34.6"/>
    <d v="2024-11-30T00:00:00"/>
    <d v="2024-12-05T00:00:00"/>
    <x v="0"/>
  </r>
  <r>
    <x v="361"/>
    <x v="0"/>
    <x v="4"/>
    <n v="13"/>
    <n v="585.88"/>
    <x v="0"/>
    <x v="1"/>
    <x v="2"/>
    <x v="3"/>
    <n v="6473.9739999999993"/>
    <x v="2"/>
    <x v="2"/>
    <n v="0"/>
    <s v="REG100914"/>
    <s v="Cust 3082"/>
    <n v="42.18"/>
    <d v="2024-02-26T00:00:00"/>
    <d v="2024-03-07T00:00:00"/>
    <x v="0"/>
  </r>
  <r>
    <x v="54"/>
    <x v="2"/>
    <x v="2"/>
    <n v="19"/>
    <n v="278.04000000000002"/>
    <x v="0"/>
    <x v="1"/>
    <x v="3"/>
    <x v="5"/>
    <n v="5018.6220000000003"/>
    <x v="2"/>
    <x v="1"/>
    <n v="0"/>
    <s v="REG100915"/>
    <s v="Cust 1156"/>
    <n v="16.399999999999999"/>
    <d v="2025-06-11T00:00:00"/>
    <d v="2025-06-15T00:00:00"/>
    <x v="2"/>
  </r>
  <r>
    <x v="348"/>
    <x v="3"/>
    <x v="1"/>
    <n v="11"/>
    <n v="267.91000000000003"/>
    <x v="0"/>
    <x v="1"/>
    <x v="0"/>
    <x v="0"/>
    <n v="2947.01"/>
    <x v="3"/>
    <x v="3"/>
    <n v="0"/>
    <s v="REG100916"/>
    <s v="Cust 4720"/>
    <n v="12.05"/>
    <d v="2023-11-29T00:00:00"/>
    <d v="2023-12-04T00:00:00"/>
    <x v="3"/>
  </r>
  <r>
    <x v="595"/>
    <x v="1"/>
    <x v="3"/>
    <n v="12"/>
    <n v="369.54"/>
    <x v="0"/>
    <x v="1"/>
    <x v="3"/>
    <x v="4"/>
    <n v="4212.7560000000003"/>
    <x v="3"/>
    <x v="2"/>
    <n v="1"/>
    <s v="REG100917"/>
    <s v="Cust 7034"/>
    <n v="39.159999999999997"/>
    <d v="2024-06-27T00:00:00"/>
    <d v="2024-07-05T00:00:00"/>
    <x v="1"/>
  </r>
  <r>
    <x v="510"/>
    <x v="1"/>
    <x v="4"/>
    <n v="13"/>
    <n v="284.3"/>
    <x v="1"/>
    <x v="0"/>
    <x v="3"/>
    <x v="5"/>
    <n v="3511.105"/>
    <x v="0"/>
    <x v="2"/>
    <n v="0"/>
    <s v="REG100918"/>
    <s v="Cust 7218"/>
    <n v="48.73"/>
    <d v="2024-05-20T00:00:00"/>
    <d v="2024-05-27T00:00:00"/>
    <x v="1"/>
  </r>
  <r>
    <x v="357"/>
    <x v="4"/>
    <x v="3"/>
    <n v="12"/>
    <n v="427.1"/>
    <x v="2"/>
    <x v="1"/>
    <x v="0"/>
    <x v="3"/>
    <n v="5125.2000000000007"/>
    <x v="1"/>
    <x v="2"/>
    <n v="1"/>
    <s v="REG100919"/>
    <s v="Cust 2651"/>
    <n v="8.11"/>
    <d v="2023-06-17T00:00:00"/>
    <d v="2023-06-22T00:00:00"/>
    <x v="4"/>
  </r>
  <r>
    <x v="158"/>
    <x v="0"/>
    <x v="4"/>
    <n v="11"/>
    <n v="200.3"/>
    <x v="3"/>
    <x v="1"/>
    <x v="1"/>
    <x v="0"/>
    <n v="1982.97"/>
    <x v="3"/>
    <x v="2"/>
    <n v="1"/>
    <s v="REG100920"/>
    <s v="Cust 1252"/>
    <n v="48.27"/>
    <d v="2024-11-06T00:00:00"/>
    <d v="2024-11-13T00:00:00"/>
    <x v="0"/>
  </r>
  <r>
    <x v="149"/>
    <x v="2"/>
    <x v="6"/>
    <n v="4"/>
    <n v="75.8"/>
    <x v="2"/>
    <x v="1"/>
    <x v="2"/>
    <x v="3"/>
    <n v="257.72000000000003"/>
    <x v="2"/>
    <x v="1"/>
    <n v="0"/>
    <s v="REG100921"/>
    <s v="Cust 6679"/>
    <n v="12.22"/>
    <d v="2025-02-12T00:00:00"/>
    <d v="2025-02-20T00:00:00"/>
    <x v="2"/>
  </r>
  <r>
    <x v="320"/>
    <x v="2"/>
    <x v="4"/>
    <n v="4"/>
    <n v="518.42999999999995"/>
    <x v="1"/>
    <x v="0"/>
    <x v="0"/>
    <x v="1"/>
    <n v="2073.7199999999998"/>
    <x v="0"/>
    <x v="1"/>
    <n v="0"/>
    <s v="REG100922"/>
    <s v="Cust 1656"/>
    <n v="30.86"/>
    <d v="2025-04-09T00:00:00"/>
    <d v="2025-04-14T00:00:00"/>
    <x v="2"/>
  </r>
  <r>
    <x v="596"/>
    <x v="2"/>
    <x v="5"/>
    <n v="19"/>
    <n v="181.18"/>
    <x v="1"/>
    <x v="0"/>
    <x v="3"/>
    <x v="3"/>
    <n v="3270.299"/>
    <x v="2"/>
    <x v="0"/>
    <n v="0"/>
    <s v="REG100923"/>
    <s v="Cust 9361"/>
    <n v="12.04"/>
    <d v="2024-08-18T00:00:00"/>
    <d v="2024-08-26T00:00:00"/>
    <x v="2"/>
  </r>
  <r>
    <x v="597"/>
    <x v="3"/>
    <x v="0"/>
    <n v="3"/>
    <n v="197.17"/>
    <x v="1"/>
    <x v="0"/>
    <x v="3"/>
    <x v="2"/>
    <n v="561.93449999999996"/>
    <x v="1"/>
    <x v="0"/>
    <n v="1"/>
    <s v="REG100924"/>
    <s v="Cust 4270"/>
    <n v="30.29"/>
    <d v="2023-02-20T00:00:00"/>
    <d v="2023-02-23T00:00:00"/>
    <x v="3"/>
  </r>
  <r>
    <x v="598"/>
    <x v="2"/>
    <x v="0"/>
    <n v="6"/>
    <n v="81.96"/>
    <x v="3"/>
    <x v="0"/>
    <x v="3"/>
    <x v="4"/>
    <n v="467.17200000000003"/>
    <x v="2"/>
    <x v="2"/>
    <n v="0"/>
    <s v="REG100925"/>
    <s v="Cust 3049"/>
    <n v="26.43"/>
    <d v="2025-04-28T00:00:00"/>
    <d v="2025-05-08T00:00:00"/>
    <x v="2"/>
  </r>
  <r>
    <x v="39"/>
    <x v="3"/>
    <x v="6"/>
    <n v="3"/>
    <n v="59.78"/>
    <x v="2"/>
    <x v="1"/>
    <x v="0"/>
    <x v="0"/>
    <n v="179.34"/>
    <x v="0"/>
    <x v="1"/>
    <n v="0"/>
    <s v="REG100926"/>
    <s v="Cust 6415"/>
    <n v="46.98"/>
    <d v="2023-08-10T00:00:00"/>
    <d v="2023-08-13T00:00:00"/>
    <x v="3"/>
  </r>
  <r>
    <x v="503"/>
    <x v="2"/>
    <x v="5"/>
    <n v="12"/>
    <n v="211.66"/>
    <x v="1"/>
    <x v="0"/>
    <x v="1"/>
    <x v="3"/>
    <n v="2285.9279999999999"/>
    <x v="2"/>
    <x v="1"/>
    <n v="0"/>
    <s v="REG100927"/>
    <s v="Cust 9856"/>
    <n v="10.36"/>
    <d v="2024-06-24T00:00:00"/>
    <d v="2024-06-29T00:00:00"/>
    <x v="2"/>
  </r>
  <r>
    <x v="23"/>
    <x v="3"/>
    <x v="6"/>
    <n v="13"/>
    <n v="69.97"/>
    <x v="1"/>
    <x v="0"/>
    <x v="3"/>
    <x v="1"/>
    <n v="864.12950000000001"/>
    <x v="3"/>
    <x v="3"/>
    <n v="0"/>
    <s v="REG100928"/>
    <s v="Cust 3106"/>
    <n v="27.66"/>
    <d v="2023-08-06T00:00:00"/>
    <d v="2023-08-12T00:00:00"/>
    <x v="3"/>
  </r>
  <r>
    <x v="570"/>
    <x v="0"/>
    <x v="5"/>
    <n v="7"/>
    <n v="438.33"/>
    <x v="2"/>
    <x v="1"/>
    <x v="1"/>
    <x v="2"/>
    <n v="2761.4789999999998"/>
    <x v="4"/>
    <x v="3"/>
    <n v="1"/>
    <s v="REG100929"/>
    <s v="Cust 3259"/>
    <n v="11.57"/>
    <d v="2024-11-26T00:00:00"/>
    <d v="2024-11-30T00:00:00"/>
    <x v="0"/>
  </r>
  <r>
    <x v="323"/>
    <x v="0"/>
    <x v="0"/>
    <n v="7"/>
    <n v="241.81"/>
    <x v="2"/>
    <x v="0"/>
    <x v="1"/>
    <x v="1"/>
    <n v="1523.403"/>
    <x v="3"/>
    <x v="0"/>
    <n v="0"/>
    <s v="REG100930"/>
    <s v="Cust 7107"/>
    <n v="32.94"/>
    <d v="2025-02-06T00:00:00"/>
    <d v="2025-02-10T00:00:00"/>
    <x v="0"/>
  </r>
  <r>
    <x v="192"/>
    <x v="0"/>
    <x v="2"/>
    <n v="3"/>
    <n v="466.64"/>
    <x v="1"/>
    <x v="1"/>
    <x v="2"/>
    <x v="5"/>
    <n v="1189.932"/>
    <x v="0"/>
    <x v="0"/>
    <n v="0"/>
    <s v="REG100931"/>
    <s v="Cust 7542"/>
    <n v="30.33"/>
    <d v="2025-03-20T00:00:00"/>
    <d v="2025-03-26T00:00:00"/>
    <x v="0"/>
  </r>
  <r>
    <x v="328"/>
    <x v="1"/>
    <x v="4"/>
    <n v="9"/>
    <n v="472.84"/>
    <x v="3"/>
    <x v="1"/>
    <x v="3"/>
    <x v="1"/>
    <n v="4042.7819999999988"/>
    <x v="2"/>
    <x v="2"/>
    <n v="0"/>
    <s v="REG100932"/>
    <s v="Cust 6330"/>
    <n v="48.13"/>
    <d v="2024-09-10T00:00:00"/>
    <d v="2024-09-12T00:00:00"/>
    <x v="1"/>
  </r>
  <r>
    <x v="241"/>
    <x v="1"/>
    <x v="3"/>
    <n v="19"/>
    <n v="586.49"/>
    <x v="1"/>
    <x v="0"/>
    <x v="1"/>
    <x v="0"/>
    <n v="10028.978999999999"/>
    <x v="4"/>
    <x v="1"/>
    <n v="0"/>
    <s v="REG100933"/>
    <s v="Cust 1469"/>
    <n v="19.850000000000001"/>
    <d v="2025-02-20T00:00:00"/>
    <d v="2025-03-02T00:00:00"/>
    <x v="1"/>
  </r>
  <r>
    <x v="411"/>
    <x v="0"/>
    <x v="3"/>
    <n v="15"/>
    <n v="462.85"/>
    <x v="1"/>
    <x v="1"/>
    <x v="2"/>
    <x v="4"/>
    <n v="5901.3374999999996"/>
    <x v="2"/>
    <x v="3"/>
    <n v="0"/>
    <s v="REG100934"/>
    <s v="Cust 3698"/>
    <n v="46.12"/>
    <d v="2023-01-20T00:00:00"/>
    <d v="2023-01-26T00:00:00"/>
    <x v="0"/>
  </r>
  <r>
    <x v="69"/>
    <x v="0"/>
    <x v="0"/>
    <n v="1"/>
    <n v="176.17"/>
    <x v="2"/>
    <x v="1"/>
    <x v="3"/>
    <x v="1"/>
    <n v="167.36150000000001"/>
    <x v="3"/>
    <x v="3"/>
    <n v="1"/>
    <s v="REG100935"/>
    <s v="Cust 9833"/>
    <n v="35.770000000000003"/>
    <d v="2024-03-03T00:00:00"/>
    <d v="2024-03-06T00:00:00"/>
    <x v="0"/>
  </r>
  <r>
    <x v="165"/>
    <x v="4"/>
    <x v="6"/>
    <n v="1"/>
    <n v="71.239999999999995"/>
    <x v="1"/>
    <x v="1"/>
    <x v="1"/>
    <x v="3"/>
    <n v="64.116"/>
    <x v="3"/>
    <x v="3"/>
    <n v="1"/>
    <s v="REG100936"/>
    <s v="Cust 1074"/>
    <n v="43.69"/>
    <d v="2023-11-27T00:00:00"/>
    <d v="2023-12-03T00:00:00"/>
    <x v="4"/>
  </r>
  <r>
    <x v="329"/>
    <x v="0"/>
    <x v="0"/>
    <n v="6"/>
    <n v="62.43"/>
    <x v="1"/>
    <x v="0"/>
    <x v="0"/>
    <x v="4"/>
    <n v="374.58"/>
    <x v="1"/>
    <x v="2"/>
    <n v="0"/>
    <s v="REG100937"/>
    <s v="Cust 7891"/>
    <n v="17.850000000000001"/>
    <d v="2024-11-10T00:00:00"/>
    <d v="2024-11-18T00:00:00"/>
    <x v="0"/>
  </r>
  <r>
    <x v="599"/>
    <x v="3"/>
    <x v="5"/>
    <n v="7"/>
    <n v="569.89"/>
    <x v="3"/>
    <x v="0"/>
    <x v="1"/>
    <x v="1"/>
    <n v="3590.3069999999998"/>
    <x v="4"/>
    <x v="1"/>
    <n v="0"/>
    <s v="REG100938"/>
    <s v="Cust 3373"/>
    <n v="26.81"/>
    <d v="2025-02-04T00:00:00"/>
    <d v="2025-02-08T00:00:00"/>
    <x v="3"/>
  </r>
  <r>
    <x v="600"/>
    <x v="0"/>
    <x v="2"/>
    <n v="5"/>
    <n v="34.06"/>
    <x v="3"/>
    <x v="0"/>
    <x v="3"/>
    <x v="4"/>
    <n v="161.785"/>
    <x v="1"/>
    <x v="3"/>
    <n v="0"/>
    <s v="REG100939"/>
    <s v="Cust 9045"/>
    <n v="19.72"/>
    <d v="2024-02-21T00:00:00"/>
    <d v="2024-03-02T00:00:00"/>
    <x v="0"/>
  </r>
  <r>
    <x v="601"/>
    <x v="0"/>
    <x v="2"/>
    <n v="17"/>
    <n v="502.6"/>
    <x v="1"/>
    <x v="0"/>
    <x v="1"/>
    <x v="2"/>
    <n v="7689.7800000000007"/>
    <x v="4"/>
    <x v="3"/>
    <n v="0"/>
    <s v="REG100940"/>
    <s v="Cust 9197"/>
    <n v="15.38"/>
    <d v="2023-03-24T00:00:00"/>
    <d v="2023-03-29T00:00:00"/>
    <x v="0"/>
  </r>
  <r>
    <x v="458"/>
    <x v="1"/>
    <x v="6"/>
    <n v="3"/>
    <n v="89.72"/>
    <x v="3"/>
    <x v="0"/>
    <x v="1"/>
    <x v="1"/>
    <n v="242.244"/>
    <x v="1"/>
    <x v="2"/>
    <n v="0"/>
    <s v="REG100941"/>
    <s v="Cust 6920"/>
    <n v="32.67"/>
    <d v="2024-05-05T00:00:00"/>
    <d v="2024-05-13T00:00:00"/>
    <x v="1"/>
  </r>
  <r>
    <x v="574"/>
    <x v="1"/>
    <x v="0"/>
    <n v="18"/>
    <n v="403.53"/>
    <x v="3"/>
    <x v="0"/>
    <x v="1"/>
    <x v="1"/>
    <n v="6537.1859999999997"/>
    <x v="0"/>
    <x v="3"/>
    <n v="0"/>
    <s v="REG100942"/>
    <s v="Cust 9652"/>
    <n v="35.729999999999997"/>
    <d v="2024-10-04T00:00:00"/>
    <d v="2024-10-07T00:00:00"/>
    <x v="1"/>
  </r>
  <r>
    <x v="602"/>
    <x v="1"/>
    <x v="3"/>
    <n v="2"/>
    <n v="194.97"/>
    <x v="1"/>
    <x v="1"/>
    <x v="0"/>
    <x v="4"/>
    <n v="389.94"/>
    <x v="2"/>
    <x v="1"/>
    <n v="0"/>
    <s v="REG100943"/>
    <s v="Cust 4189"/>
    <n v="9.89"/>
    <d v="2025-01-04T00:00:00"/>
    <d v="2025-01-14T00:00:00"/>
    <x v="1"/>
  </r>
  <r>
    <x v="473"/>
    <x v="3"/>
    <x v="6"/>
    <n v="12"/>
    <n v="171.91"/>
    <x v="0"/>
    <x v="1"/>
    <x v="3"/>
    <x v="0"/>
    <n v="1959.7739999999999"/>
    <x v="2"/>
    <x v="2"/>
    <n v="0"/>
    <s v="REG100944"/>
    <s v="Cust 6267"/>
    <n v="34.36"/>
    <d v="2024-12-23T00:00:00"/>
    <d v="2025-01-02T00:00:00"/>
    <x v="3"/>
  </r>
  <r>
    <x v="603"/>
    <x v="3"/>
    <x v="0"/>
    <n v="17"/>
    <n v="535.88"/>
    <x v="1"/>
    <x v="0"/>
    <x v="3"/>
    <x v="5"/>
    <n v="8654.4619999999995"/>
    <x v="1"/>
    <x v="3"/>
    <n v="0"/>
    <s v="REG100945"/>
    <s v="Cust 7753"/>
    <n v="26.12"/>
    <d v="2023-01-29T00:00:00"/>
    <d v="2023-02-08T00:00:00"/>
    <x v="3"/>
  </r>
  <r>
    <x v="111"/>
    <x v="4"/>
    <x v="3"/>
    <n v="12"/>
    <n v="248.13"/>
    <x v="1"/>
    <x v="1"/>
    <x v="3"/>
    <x v="1"/>
    <n v="2828.6819999999998"/>
    <x v="4"/>
    <x v="0"/>
    <n v="0"/>
    <s v="REG100946"/>
    <s v="Cust 2789"/>
    <n v="26.03"/>
    <d v="2024-08-11T00:00:00"/>
    <d v="2024-08-17T00:00:00"/>
    <x v="4"/>
  </r>
  <r>
    <x v="425"/>
    <x v="2"/>
    <x v="1"/>
    <n v="2"/>
    <n v="482.1"/>
    <x v="2"/>
    <x v="1"/>
    <x v="0"/>
    <x v="3"/>
    <n v="964.2"/>
    <x v="0"/>
    <x v="0"/>
    <n v="0"/>
    <s v="REG100947"/>
    <s v="Cust 3527"/>
    <n v="45.35"/>
    <d v="2023-11-25T00:00:00"/>
    <d v="2023-11-30T00:00:00"/>
    <x v="2"/>
  </r>
  <r>
    <x v="155"/>
    <x v="2"/>
    <x v="4"/>
    <n v="18"/>
    <n v="382.01"/>
    <x v="3"/>
    <x v="0"/>
    <x v="1"/>
    <x v="1"/>
    <n v="6188.5620000000008"/>
    <x v="0"/>
    <x v="1"/>
    <n v="0"/>
    <s v="REG100948"/>
    <s v="Cust 9538"/>
    <n v="36.549999999999997"/>
    <d v="2025-03-04T00:00:00"/>
    <d v="2025-03-08T00:00:00"/>
    <x v="2"/>
  </r>
  <r>
    <x v="383"/>
    <x v="2"/>
    <x v="1"/>
    <n v="13"/>
    <n v="135.97999999999999"/>
    <x v="2"/>
    <x v="0"/>
    <x v="0"/>
    <x v="2"/>
    <n v="1767.74"/>
    <x v="0"/>
    <x v="2"/>
    <n v="0"/>
    <s v="REG100949"/>
    <s v="Cust 7195"/>
    <n v="28.35"/>
    <d v="2025-02-21T00:00:00"/>
    <d v="2025-03-01T00:00:00"/>
    <x v="2"/>
  </r>
  <r>
    <x v="3"/>
    <x v="0"/>
    <x v="2"/>
    <n v="9"/>
    <n v="562.54"/>
    <x v="1"/>
    <x v="0"/>
    <x v="0"/>
    <x v="1"/>
    <n v="5062.8599999999997"/>
    <x v="2"/>
    <x v="0"/>
    <n v="0"/>
    <s v="REG100950"/>
    <s v="Cust 8929"/>
    <n v="30.27"/>
    <d v="2025-02-26T00:00:00"/>
    <d v="2025-02-28T00:00:00"/>
    <x v="0"/>
  </r>
  <r>
    <x v="604"/>
    <x v="0"/>
    <x v="4"/>
    <n v="6"/>
    <n v="509.48"/>
    <x v="0"/>
    <x v="0"/>
    <x v="0"/>
    <x v="1"/>
    <n v="3056.88"/>
    <x v="3"/>
    <x v="2"/>
    <n v="0"/>
    <s v="REG100951"/>
    <s v="Cust 8931"/>
    <n v="35.92"/>
    <d v="2024-03-29T00:00:00"/>
    <d v="2024-04-06T00:00:00"/>
    <x v="0"/>
  </r>
  <r>
    <x v="605"/>
    <x v="4"/>
    <x v="2"/>
    <n v="3"/>
    <n v="470.09"/>
    <x v="0"/>
    <x v="0"/>
    <x v="0"/>
    <x v="0"/>
    <n v="1410.27"/>
    <x v="1"/>
    <x v="3"/>
    <n v="0"/>
    <s v="REG100952"/>
    <s v="Cust 1424"/>
    <n v="38.29"/>
    <d v="2025-05-28T00:00:00"/>
    <d v="2025-06-01T00:00:00"/>
    <x v="4"/>
  </r>
  <r>
    <x v="606"/>
    <x v="4"/>
    <x v="6"/>
    <n v="10"/>
    <n v="280.8"/>
    <x v="2"/>
    <x v="1"/>
    <x v="0"/>
    <x v="1"/>
    <n v="2808"/>
    <x v="2"/>
    <x v="1"/>
    <n v="0"/>
    <s v="REG100953"/>
    <s v="Cust 6723"/>
    <n v="49.98"/>
    <d v="2024-05-24T00:00:00"/>
    <d v="2024-05-30T00:00:00"/>
    <x v="4"/>
  </r>
  <r>
    <x v="551"/>
    <x v="1"/>
    <x v="3"/>
    <n v="9"/>
    <n v="251.43"/>
    <x v="2"/>
    <x v="1"/>
    <x v="1"/>
    <x v="2"/>
    <n v="2036.5830000000001"/>
    <x v="2"/>
    <x v="3"/>
    <n v="0"/>
    <s v="REG100954"/>
    <s v="Cust 8850"/>
    <n v="22.57"/>
    <d v="2023-05-12T00:00:00"/>
    <d v="2023-05-17T00:00:00"/>
    <x v="1"/>
  </r>
  <r>
    <x v="535"/>
    <x v="1"/>
    <x v="1"/>
    <n v="4"/>
    <n v="408.28"/>
    <x v="1"/>
    <x v="1"/>
    <x v="2"/>
    <x v="1"/>
    <n v="1388.152"/>
    <x v="4"/>
    <x v="2"/>
    <n v="0"/>
    <s v="REG100955"/>
    <s v="Cust 1722"/>
    <n v="5.38"/>
    <d v="2023-10-11T00:00:00"/>
    <d v="2023-10-15T00:00:00"/>
    <x v="1"/>
  </r>
  <r>
    <x v="109"/>
    <x v="2"/>
    <x v="6"/>
    <n v="2"/>
    <n v="27.43"/>
    <x v="0"/>
    <x v="1"/>
    <x v="2"/>
    <x v="2"/>
    <n v="46.631"/>
    <x v="0"/>
    <x v="2"/>
    <n v="0"/>
    <s v="REG100956"/>
    <s v="Cust 1211"/>
    <n v="6.15"/>
    <d v="2024-01-25T00:00:00"/>
    <d v="2024-02-01T00:00:00"/>
    <x v="2"/>
  </r>
  <r>
    <x v="151"/>
    <x v="0"/>
    <x v="1"/>
    <n v="11"/>
    <n v="321.72000000000003"/>
    <x v="1"/>
    <x v="1"/>
    <x v="1"/>
    <x v="3"/>
    <n v="3185.0279999999998"/>
    <x v="0"/>
    <x v="2"/>
    <n v="1"/>
    <s v="REG100957"/>
    <s v="Cust 9384"/>
    <n v="17.940000000000001"/>
    <d v="2023-02-03T00:00:00"/>
    <d v="2023-02-06T00:00:00"/>
    <x v="0"/>
  </r>
  <r>
    <x v="172"/>
    <x v="2"/>
    <x v="2"/>
    <n v="5"/>
    <n v="186.32"/>
    <x v="1"/>
    <x v="0"/>
    <x v="1"/>
    <x v="3"/>
    <n v="838.43999999999994"/>
    <x v="1"/>
    <x v="2"/>
    <n v="0"/>
    <s v="REG100958"/>
    <s v="Cust 3809"/>
    <n v="17.09"/>
    <d v="2024-07-08T00:00:00"/>
    <d v="2024-07-14T00:00:00"/>
    <x v="2"/>
  </r>
  <r>
    <x v="534"/>
    <x v="1"/>
    <x v="4"/>
    <n v="3"/>
    <n v="390.28"/>
    <x v="0"/>
    <x v="1"/>
    <x v="0"/>
    <x v="2"/>
    <n v="1170.8399999999999"/>
    <x v="0"/>
    <x v="2"/>
    <n v="1"/>
    <s v="REG100959"/>
    <s v="Cust 9338"/>
    <n v="45.22"/>
    <d v="2025-05-31T00:00:00"/>
    <d v="2025-06-10T00:00:00"/>
    <x v="1"/>
  </r>
  <r>
    <x v="254"/>
    <x v="1"/>
    <x v="4"/>
    <n v="13"/>
    <n v="174.9"/>
    <x v="1"/>
    <x v="0"/>
    <x v="2"/>
    <x v="3"/>
    <n v="1932.645"/>
    <x v="0"/>
    <x v="2"/>
    <n v="0"/>
    <s v="REG100960"/>
    <s v="Cust 1822"/>
    <n v="31.26"/>
    <d v="2023-11-09T00:00:00"/>
    <d v="2023-11-12T00:00:00"/>
    <x v="1"/>
  </r>
  <r>
    <x v="607"/>
    <x v="2"/>
    <x v="3"/>
    <n v="8"/>
    <n v="419.13"/>
    <x v="1"/>
    <x v="1"/>
    <x v="1"/>
    <x v="1"/>
    <n v="3017.7359999999999"/>
    <x v="0"/>
    <x v="3"/>
    <n v="1"/>
    <s v="REG100961"/>
    <s v="Cust 8260"/>
    <n v="11.02"/>
    <d v="2023-07-06T00:00:00"/>
    <d v="2023-07-10T00:00:00"/>
    <x v="2"/>
  </r>
  <r>
    <x v="123"/>
    <x v="2"/>
    <x v="3"/>
    <n v="12"/>
    <n v="116.96"/>
    <x v="3"/>
    <x v="0"/>
    <x v="0"/>
    <x v="1"/>
    <n v="1403.52"/>
    <x v="1"/>
    <x v="2"/>
    <n v="0"/>
    <s v="REG100962"/>
    <s v="Cust 7088"/>
    <n v="22.04"/>
    <d v="2023-07-14T00:00:00"/>
    <d v="2023-07-22T00:00:00"/>
    <x v="2"/>
  </r>
  <r>
    <x v="327"/>
    <x v="4"/>
    <x v="3"/>
    <n v="11"/>
    <n v="323.72000000000003"/>
    <x v="1"/>
    <x v="0"/>
    <x v="1"/>
    <x v="5"/>
    <n v="3204.828"/>
    <x v="1"/>
    <x v="2"/>
    <n v="0"/>
    <s v="REG100963"/>
    <s v="Cust 4969"/>
    <n v="7.52"/>
    <d v="2023-11-13T00:00:00"/>
    <d v="2023-11-15T00:00:00"/>
    <x v="4"/>
  </r>
  <r>
    <x v="170"/>
    <x v="4"/>
    <x v="5"/>
    <n v="11"/>
    <n v="155.49"/>
    <x v="3"/>
    <x v="1"/>
    <x v="3"/>
    <x v="2"/>
    <n v="1624.8705"/>
    <x v="4"/>
    <x v="3"/>
    <n v="0"/>
    <s v="REG100964"/>
    <s v="Cust 9046"/>
    <n v="47.01"/>
    <d v="2025-02-02T00:00:00"/>
    <d v="2025-02-12T00:00:00"/>
    <x v="4"/>
  </r>
  <r>
    <x v="563"/>
    <x v="1"/>
    <x v="6"/>
    <n v="20"/>
    <n v="270.2"/>
    <x v="1"/>
    <x v="0"/>
    <x v="0"/>
    <x v="4"/>
    <n v="5404"/>
    <x v="2"/>
    <x v="2"/>
    <n v="0"/>
    <s v="REG100965"/>
    <s v="Cust 6859"/>
    <n v="6.8"/>
    <d v="2024-05-06T00:00:00"/>
    <d v="2024-05-15T00:00:00"/>
    <x v="1"/>
  </r>
  <r>
    <x v="386"/>
    <x v="1"/>
    <x v="6"/>
    <n v="15"/>
    <n v="482.08"/>
    <x v="3"/>
    <x v="1"/>
    <x v="1"/>
    <x v="0"/>
    <n v="6508.08"/>
    <x v="3"/>
    <x v="0"/>
    <n v="1"/>
    <s v="REG100966"/>
    <s v="Cust 2800"/>
    <n v="13.35"/>
    <d v="2024-10-17T00:00:00"/>
    <d v="2024-10-19T00:00:00"/>
    <x v="1"/>
  </r>
  <r>
    <x v="608"/>
    <x v="2"/>
    <x v="0"/>
    <n v="11"/>
    <n v="431.51"/>
    <x v="2"/>
    <x v="0"/>
    <x v="1"/>
    <x v="3"/>
    <n v="4271.9489999999996"/>
    <x v="3"/>
    <x v="1"/>
    <n v="0"/>
    <s v="REG100967"/>
    <s v="Cust 1146"/>
    <n v="22.83"/>
    <d v="2025-01-29T00:00:00"/>
    <d v="2025-02-05T00:00:00"/>
    <x v="2"/>
  </r>
  <r>
    <x v="609"/>
    <x v="3"/>
    <x v="3"/>
    <n v="5"/>
    <n v="302.76"/>
    <x v="3"/>
    <x v="0"/>
    <x v="0"/>
    <x v="3"/>
    <n v="1513.8"/>
    <x v="1"/>
    <x v="0"/>
    <n v="1"/>
    <s v="REG100968"/>
    <s v="Cust 6447"/>
    <n v="46.69"/>
    <d v="2025-03-23T00:00:00"/>
    <d v="2025-03-29T00:00:00"/>
    <x v="3"/>
  </r>
  <r>
    <x v="610"/>
    <x v="4"/>
    <x v="3"/>
    <n v="19"/>
    <n v="344.92"/>
    <x v="2"/>
    <x v="0"/>
    <x v="0"/>
    <x v="0"/>
    <n v="6553.48"/>
    <x v="4"/>
    <x v="2"/>
    <n v="0"/>
    <s v="REG100969"/>
    <s v="Cust 8519"/>
    <n v="6.91"/>
    <d v="2024-04-11T00:00:00"/>
    <d v="2024-04-20T00:00:00"/>
    <x v="4"/>
  </r>
  <r>
    <x v="80"/>
    <x v="3"/>
    <x v="3"/>
    <n v="7"/>
    <n v="511.46"/>
    <x v="2"/>
    <x v="1"/>
    <x v="1"/>
    <x v="0"/>
    <n v="3222.1979999999999"/>
    <x v="4"/>
    <x v="0"/>
    <n v="0"/>
    <s v="REG100970"/>
    <s v="Cust 3422"/>
    <n v="19.2"/>
    <d v="2024-05-03T00:00:00"/>
    <d v="2024-05-12T00:00:00"/>
    <x v="3"/>
  </r>
  <r>
    <x v="571"/>
    <x v="0"/>
    <x v="4"/>
    <n v="7"/>
    <n v="150.6"/>
    <x v="1"/>
    <x v="0"/>
    <x v="2"/>
    <x v="5"/>
    <n v="896.07"/>
    <x v="4"/>
    <x v="2"/>
    <n v="1"/>
    <s v="REG100971"/>
    <s v="Cust 9638"/>
    <n v="15.52"/>
    <d v="2024-10-14T00:00:00"/>
    <d v="2024-10-21T00:00:00"/>
    <x v="0"/>
  </r>
  <r>
    <x v="279"/>
    <x v="4"/>
    <x v="1"/>
    <n v="8"/>
    <n v="158.02000000000001"/>
    <x v="2"/>
    <x v="0"/>
    <x v="2"/>
    <x v="4"/>
    <n v="1074.5360000000001"/>
    <x v="2"/>
    <x v="0"/>
    <n v="0"/>
    <s v="REG100972"/>
    <s v="Cust 6438"/>
    <n v="47.43"/>
    <d v="2024-02-08T00:00:00"/>
    <d v="2024-02-13T00:00:00"/>
    <x v="4"/>
  </r>
  <r>
    <x v="2"/>
    <x v="3"/>
    <x v="5"/>
    <n v="2"/>
    <n v="536.17999999999995"/>
    <x v="0"/>
    <x v="1"/>
    <x v="1"/>
    <x v="2"/>
    <n v="965.12399999999991"/>
    <x v="2"/>
    <x v="0"/>
    <n v="0"/>
    <s v="REG100973"/>
    <s v="Cust 1724"/>
    <n v="34.75"/>
    <d v="2023-05-10T00:00:00"/>
    <d v="2023-05-13T00:00:00"/>
    <x v="3"/>
  </r>
  <r>
    <x v="21"/>
    <x v="2"/>
    <x v="3"/>
    <n v="16"/>
    <n v="571.26"/>
    <x v="2"/>
    <x v="0"/>
    <x v="2"/>
    <x v="5"/>
    <n v="7769.1360000000004"/>
    <x v="1"/>
    <x v="1"/>
    <n v="0"/>
    <s v="REG100974"/>
    <s v="Cust 7808"/>
    <n v="6.13"/>
    <d v="2023-03-03T00:00:00"/>
    <d v="2023-03-12T00:00:00"/>
    <x v="2"/>
  </r>
  <r>
    <x v="83"/>
    <x v="3"/>
    <x v="5"/>
    <n v="12"/>
    <n v="134.41999999999999"/>
    <x v="3"/>
    <x v="1"/>
    <x v="1"/>
    <x v="4"/>
    <n v="1451.7360000000001"/>
    <x v="1"/>
    <x v="0"/>
    <n v="0"/>
    <s v="REG100975"/>
    <s v="Cust 3045"/>
    <n v="33.979999999999997"/>
    <d v="2025-05-21T00:00:00"/>
    <d v="2025-05-27T00:00:00"/>
    <x v="3"/>
  </r>
  <r>
    <x v="611"/>
    <x v="3"/>
    <x v="0"/>
    <n v="5"/>
    <n v="563.70000000000005"/>
    <x v="1"/>
    <x v="1"/>
    <x v="0"/>
    <x v="5"/>
    <n v="2818.5"/>
    <x v="0"/>
    <x v="1"/>
    <n v="0"/>
    <s v="REG100976"/>
    <s v="Cust 7348"/>
    <n v="29.28"/>
    <d v="2025-04-30T00:00:00"/>
    <d v="2025-05-07T00:00:00"/>
    <x v="3"/>
  </r>
  <r>
    <x v="612"/>
    <x v="2"/>
    <x v="1"/>
    <n v="11"/>
    <n v="546.57000000000005"/>
    <x v="3"/>
    <x v="1"/>
    <x v="2"/>
    <x v="5"/>
    <n v="5110.4295000000002"/>
    <x v="2"/>
    <x v="1"/>
    <n v="1"/>
    <s v="REG100977"/>
    <s v="Cust 5666"/>
    <n v="24.77"/>
    <d v="2023-04-02T00:00:00"/>
    <d v="2023-04-04T00:00:00"/>
    <x v="2"/>
  </r>
  <r>
    <x v="98"/>
    <x v="2"/>
    <x v="4"/>
    <n v="9"/>
    <n v="364.88"/>
    <x v="2"/>
    <x v="0"/>
    <x v="3"/>
    <x v="5"/>
    <n v="3119.7240000000002"/>
    <x v="4"/>
    <x v="1"/>
    <n v="0"/>
    <s v="REG100978"/>
    <s v="Cust 4002"/>
    <n v="40.26"/>
    <d v="2024-08-26T00:00:00"/>
    <d v="2024-09-05T00:00:00"/>
    <x v="2"/>
  </r>
  <r>
    <x v="613"/>
    <x v="1"/>
    <x v="4"/>
    <n v="7"/>
    <n v="368.27"/>
    <x v="2"/>
    <x v="0"/>
    <x v="2"/>
    <x v="3"/>
    <n v="2191.2064999999998"/>
    <x v="0"/>
    <x v="2"/>
    <n v="0"/>
    <s v="REG100979"/>
    <s v="Cust 6675"/>
    <n v="28.98"/>
    <d v="2023-11-10T00:00:00"/>
    <d v="2023-11-20T00:00:00"/>
    <x v="1"/>
  </r>
  <r>
    <x v="614"/>
    <x v="3"/>
    <x v="6"/>
    <n v="20"/>
    <n v="537.28"/>
    <x v="2"/>
    <x v="0"/>
    <x v="0"/>
    <x v="2"/>
    <n v="10745.6"/>
    <x v="0"/>
    <x v="3"/>
    <n v="1"/>
    <s v="REG100980"/>
    <s v="Cust 5462"/>
    <n v="15.6"/>
    <d v="2025-01-27T00:00:00"/>
    <d v="2025-02-02T00:00:00"/>
    <x v="3"/>
  </r>
  <r>
    <x v="478"/>
    <x v="1"/>
    <x v="1"/>
    <n v="3"/>
    <n v="103.09"/>
    <x v="3"/>
    <x v="0"/>
    <x v="0"/>
    <x v="3"/>
    <n v="309.27"/>
    <x v="1"/>
    <x v="1"/>
    <n v="1"/>
    <s v="REG100981"/>
    <s v="Cust 3471"/>
    <n v="46.47"/>
    <d v="2024-04-26T00:00:00"/>
    <d v="2024-04-30T00:00:00"/>
    <x v="1"/>
  </r>
  <r>
    <x v="165"/>
    <x v="0"/>
    <x v="5"/>
    <n v="9"/>
    <n v="97.56"/>
    <x v="1"/>
    <x v="0"/>
    <x v="0"/>
    <x v="1"/>
    <n v="878.04"/>
    <x v="0"/>
    <x v="3"/>
    <n v="0"/>
    <s v="REG100982"/>
    <s v="Cust 1603"/>
    <n v="48.84"/>
    <d v="2023-11-27T00:00:00"/>
    <d v="2023-12-01T00:00:00"/>
    <x v="0"/>
  </r>
  <r>
    <x v="306"/>
    <x v="3"/>
    <x v="5"/>
    <n v="10"/>
    <n v="338.75"/>
    <x v="1"/>
    <x v="0"/>
    <x v="2"/>
    <x v="3"/>
    <n v="2879.375"/>
    <x v="4"/>
    <x v="2"/>
    <n v="1"/>
    <s v="REG100983"/>
    <s v="Cust 7758"/>
    <n v="36.56"/>
    <d v="2023-03-30T00:00:00"/>
    <d v="2023-04-06T00:00:00"/>
    <x v="3"/>
  </r>
  <r>
    <x v="615"/>
    <x v="2"/>
    <x v="2"/>
    <n v="2"/>
    <n v="239.04"/>
    <x v="1"/>
    <x v="0"/>
    <x v="0"/>
    <x v="5"/>
    <n v="478.08"/>
    <x v="3"/>
    <x v="1"/>
    <n v="1"/>
    <s v="REG100984"/>
    <s v="Cust 3396"/>
    <n v="43.84"/>
    <d v="2024-03-04T00:00:00"/>
    <d v="2024-03-11T00:00:00"/>
    <x v="2"/>
  </r>
  <r>
    <x v="445"/>
    <x v="1"/>
    <x v="0"/>
    <n v="14"/>
    <n v="362.44"/>
    <x v="2"/>
    <x v="0"/>
    <x v="1"/>
    <x v="5"/>
    <n v="4566.7439999999997"/>
    <x v="4"/>
    <x v="2"/>
    <n v="0"/>
    <s v="REG100985"/>
    <s v="Cust 4797"/>
    <n v="36.729999999999997"/>
    <d v="2023-07-11T00:00:00"/>
    <d v="2023-07-15T00:00:00"/>
    <x v="1"/>
  </r>
  <r>
    <x v="246"/>
    <x v="4"/>
    <x v="4"/>
    <n v="6"/>
    <n v="551.13"/>
    <x v="3"/>
    <x v="1"/>
    <x v="0"/>
    <x v="3"/>
    <n v="3306.78"/>
    <x v="1"/>
    <x v="0"/>
    <n v="0"/>
    <s v="REG100986"/>
    <s v="Cust 1113"/>
    <n v="14.67"/>
    <d v="2024-09-20T00:00:00"/>
    <d v="2024-09-29T00:00:00"/>
    <x v="4"/>
  </r>
  <r>
    <x v="616"/>
    <x v="4"/>
    <x v="0"/>
    <n v="1"/>
    <n v="82.06"/>
    <x v="3"/>
    <x v="1"/>
    <x v="1"/>
    <x v="0"/>
    <n v="73.853999999999999"/>
    <x v="2"/>
    <x v="0"/>
    <n v="0"/>
    <s v="REG100987"/>
    <s v="Cust 8843"/>
    <n v="11.11"/>
    <d v="2025-02-18T00:00:00"/>
    <d v="2025-02-24T00:00:00"/>
    <x v="4"/>
  </r>
  <r>
    <x v="617"/>
    <x v="0"/>
    <x v="5"/>
    <n v="7"/>
    <n v="498.46"/>
    <x v="2"/>
    <x v="0"/>
    <x v="2"/>
    <x v="3"/>
    <n v="2965.837"/>
    <x v="1"/>
    <x v="3"/>
    <n v="0"/>
    <s v="REG100988"/>
    <s v="Cust 7505"/>
    <n v="42.72"/>
    <d v="2024-07-16T00:00:00"/>
    <d v="2024-07-20T00:00:00"/>
    <x v="0"/>
  </r>
  <r>
    <x v="488"/>
    <x v="0"/>
    <x v="3"/>
    <n v="2"/>
    <n v="253.41"/>
    <x v="3"/>
    <x v="1"/>
    <x v="1"/>
    <x v="2"/>
    <n v="456.13799999999998"/>
    <x v="4"/>
    <x v="0"/>
    <n v="0"/>
    <s v="REG100989"/>
    <s v="Cust 9490"/>
    <n v="49.64"/>
    <d v="2023-11-23T00:00:00"/>
    <d v="2023-11-25T00:00:00"/>
    <x v="0"/>
  </r>
  <r>
    <x v="288"/>
    <x v="1"/>
    <x v="1"/>
    <n v="16"/>
    <n v="144.07"/>
    <x v="3"/>
    <x v="0"/>
    <x v="1"/>
    <x v="0"/>
    <n v="2074.6080000000002"/>
    <x v="3"/>
    <x v="0"/>
    <n v="0"/>
    <s v="REG100990"/>
    <s v="Cust 8631"/>
    <n v="7.33"/>
    <d v="2023-09-07T00:00:00"/>
    <d v="2023-09-09T00:00:00"/>
    <x v="1"/>
  </r>
  <r>
    <x v="618"/>
    <x v="4"/>
    <x v="4"/>
    <n v="11"/>
    <n v="201.09"/>
    <x v="2"/>
    <x v="1"/>
    <x v="2"/>
    <x v="3"/>
    <n v="1880.1914999999999"/>
    <x v="4"/>
    <x v="3"/>
    <n v="1"/>
    <s v="REG100991"/>
    <s v="Cust 6986"/>
    <n v="48.42"/>
    <d v="2024-02-01T00:00:00"/>
    <d v="2024-02-04T00:00:00"/>
    <x v="4"/>
  </r>
  <r>
    <x v="33"/>
    <x v="1"/>
    <x v="3"/>
    <n v="11"/>
    <n v="585.45000000000005"/>
    <x v="3"/>
    <x v="0"/>
    <x v="1"/>
    <x v="1"/>
    <n v="5795.9550000000008"/>
    <x v="2"/>
    <x v="2"/>
    <n v="0"/>
    <s v="REG100992"/>
    <s v="Cust 9636"/>
    <n v="36.590000000000003"/>
    <d v="2025-05-08T00:00:00"/>
    <d v="2025-05-12T00:00:00"/>
    <x v="1"/>
  </r>
  <r>
    <x v="50"/>
    <x v="2"/>
    <x v="0"/>
    <n v="3"/>
    <n v="448.77"/>
    <x v="1"/>
    <x v="1"/>
    <x v="0"/>
    <x v="1"/>
    <n v="1346.31"/>
    <x v="0"/>
    <x v="0"/>
    <n v="0"/>
    <s v="REG100993"/>
    <s v="Cust 7367"/>
    <n v="28.5"/>
    <d v="2025-01-17T00:00:00"/>
    <d v="2025-01-24T00:00:00"/>
    <x v="2"/>
  </r>
  <r>
    <x v="447"/>
    <x v="0"/>
    <x v="4"/>
    <n v="9"/>
    <n v="184.43"/>
    <x v="3"/>
    <x v="0"/>
    <x v="0"/>
    <x v="3"/>
    <n v="1659.87"/>
    <x v="0"/>
    <x v="2"/>
    <n v="0"/>
    <s v="REG100994"/>
    <s v="Cust 1943"/>
    <n v="30.78"/>
    <d v="2023-09-02T00:00:00"/>
    <d v="2023-09-08T00:00:00"/>
    <x v="0"/>
  </r>
  <r>
    <x v="366"/>
    <x v="3"/>
    <x v="0"/>
    <n v="16"/>
    <n v="594.1"/>
    <x v="3"/>
    <x v="1"/>
    <x v="0"/>
    <x v="5"/>
    <n v="9505.6"/>
    <x v="1"/>
    <x v="0"/>
    <n v="0"/>
    <s v="REG100995"/>
    <s v="Cust 6368"/>
    <n v="18.2"/>
    <d v="2023-06-23T00:00:00"/>
    <d v="2023-07-01T00:00:00"/>
    <x v="3"/>
  </r>
  <r>
    <x v="619"/>
    <x v="0"/>
    <x v="0"/>
    <n v="19"/>
    <n v="482.07"/>
    <x v="0"/>
    <x v="0"/>
    <x v="1"/>
    <x v="5"/>
    <n v="8243.3970000000008"/>
    <x v="2"/>
    <x v="3"/>
    <n v="0"/>
    <s v="REG100996"/>
    <s v="Cust 9724"/>
    <n v="25.96"/>
    <d v="2024-01-20T00:00:00"/>
    <d v="2024-01-26T00:00:00"/>
    <x v="0"/>
  </r>
  <r>
    <x v="620"/>
    <x v="0"/>
    <x v="3"/>
    <n v="20"/>
    <n v="75.45"/>
    <x v="0"/>
    <x v="0"/>
    <x v="3"/>
    <x v="0"/>
    <n v="1433.55"/>
    <x v="2"/>
    <x v="1"/>
    <n v="0"/>
    <s v="REG100997"/>
    <s v="Cust 1983"/>
    <n v="44.77"/>
    <d v="2024-06-26T00:00:00"/>
    <d v="2024-07-06T00:00:00"/>
    <x v="0"/>
  </r>
  <r>
    <x v="621"/>
    <x v="3"/>
    <x v="4"/>
    <n v="2"/>
    <n v="494.22"/>
    <x v="2"/>
    <x v="1"/>
    <x v="1"/>
    <x v="3"/>
    <n v="889.59600000000012"/>
    <x v="1"/>
    <x v="0"/>
    <n v="0"/>
    <s v="REG100998"/>
    <s v="Cust 8723"/>
    <n v="13.45"/>
    <d v="2024-12-12T00:00:00"/>
    <d v="2024-12-17T00:00:00"/>
    <x v="3"/>
  </r>
  <r>
    <x v="600"/>
    <x v="0"/>
    <x v="0"/>
    <n v="15"/>
    <n v="112.82"/>
    <x v="0"/>
    <x v="0"/>
    <x v="3"/>
    <x v="2"/>
    <n v="1607.6849999999999"/>
    <x v="2"/>
    <x v="2"/>
    <n v="0"/>
    <s v="REG100999"/>
    <s v="Cust 1901"/>
    <n v="18.21"/>
    <d v="2024-02-21T00:00:00"/>
    <d v="2024-03-01T00:00:00"/>
    <x v="0"/>
  </r>
  <r>
    <x v="338"/>
    <x v="0"/>
    <x v="2"/>
    <n v="3"/>
    <n v="121.56"/>
    <x v="3"/>
    <x v="0"/>
    <x v="0"/>
    <x v="0"/>
    <n v="364.68"/>
    <x v="3"/>
    <x v="2"/>
    <n v="0"/>
    <s v="REG101000"/>
    <s v="Cust 9682"/>
    <n v="29.06"/>
    <d v="2023-07-18T00:00:00"/>
    <d v="2023-07-25T00:00:00"/>
    <x v="0"/>
  </r>
  <r>
    <x v="352"/>
    <x v="2"/>
    <x v="2"/>
    <n v="12"/>
    <n v="465.94"/>
    <x v="3"/>
    <x v="0"/>
    <x v="0"/>
    <x v="1"/>
    <n v="5591.28"/>
    <x v="2"/>
    <x v="2"/>
    <n v="0"/>
    <s v="REG101001"/>
    <s v="Cust 5413"/>
    <n v="34.159999999999997"/>
    <d v="2024-10-02T00:00:00"/>
    <d v="2024-10-06T00:00:00"/>
    <x v="2"/>
  </r>
  <r>
    <x v="622"/>
    <x v="4"/>
    <x v="1"/>
    <n v="12"/>
    <n v="187.8"/>
    <x v="3"/>
    <x v="0"/>
    <x v="2"/>
    <x v="4"/>
    <n v="1915.56"/>
    <x v="0"/>
    <x v="0"/>
    <n v="0"/>
    <s v="REG101002"/>
    <s v="Cust 9590"/>
    <n v="17.739999999999998"/>
    <d v="2024-12-01T00:00:00"/>
    <d v="2024-12-04T00:00:00"/>
    <x v="4"/>
  </r>
  <r>
    <x v="623"/>
    <x v="0"/>
    <x v="2"/>
    <n v="1"/>
    <n v="561.29999999999995"/>
    <x v="3"/>
    <x v="1"/>
    <x v="2"/>
    <x v="2"/>
    <n v="477.10500000000002"/>
    <x v="1"/>
    <x v="3"/>
    <n v="0"/>
    <s v="REG101003"/>
    <s v="Cust 9379"/>
    <n v="5.19"/>
    <d v="2024-09-03T00:00:00"/>
    <d v="2024-09-12T00:00:00"/>
    <x v="0"/>
  </r>
  <r>
    <x v="624"/>
    <x v="4"/>
    <x v="6"/>
    <n v="7"/>
    <n v="178.26"/>
    <x v="2"/>
    <x v="1"/>
    <x v="2"/>
    <x v="5"/>
    <n v="1060.6469999999999"/>
    <x v="0"/>
    <x v="0"/>
    <n v="0"/>
    <s v="REG101004"/>
    <s v="Cust 4722"/>
    <n v="44.91"/>
    <d v="2025-02-22T00:00:00"/>
    <d v="2025-03-01T00:00:00"/>
    <x v="4"/>
  </r>
  <r>
    <x v="15"/>
    <x v="4"/>
    <x v="4"/>
    <n v="20"/>
    <n v="552.83000000000004"/>
    <x v="3"/>
    <x v="1"/>
    <x v="2"/>
    <x v="0"/>
    <n v="9398.11"/>
    <x v="0"/>
    <x v="0"/>
    <n v="1"/>
    <s v="REG101005"/>
    <s v="Cust 7152"/>
    <n v="20.5"/>
    <d v="2025-05-11T00:00:00"/>
    <d v="2025-05-13T00:00:00"/>
    <x v="4"/>
  </r>
  <r>
    <x v="529"/>
    <x v="3"/>
    <x v="5"/>
    <n v="2"/>
    <n v="458.25"/>
    <x v="0"/>
    <x v="0"/>
    <x v="0"/>
    <x v="0"/>
    <n v="916.5"/>
    <x v="1"/>
    <x v="1"/>
    <n v="0"/>
    <s v="REG101006"/>
    <s v="Cust 7255"/>
    <n v="25.94"/>
    <d v="2024-12-20T00:00:00"/>
    <d v="2024-12-29T00:00:00"/>
    <x v="3"/>
  </r>
  <r>
    <x v="625"/>
    <x v="0"/>
    <x v="0"/>
    <n v="2"/>
    <n v="129.43"/>
    <x v="3"/>
    <x v="1"/>
    <x v="3"/>
    <x v="1"/>
    <n v="245.917"/>
    <x v="3"/>
    <x v="0"/>
    <n v="0"/>
    <s v="REG101007"/>
    <s v="Cust 9593"/>
    <n v="6.91"/>
    <d v="2023-04-18T00:00:00"/>
    <d v="2023-04-21T00:00:00"/>
    <x v="0"/>
  </r>
  <r>
    <x v="496"/>
    <x v="0"/>
    <x v="6"/>
    <n v="19"/>
    <n v="448.21"/>
    <x v="2"/>
    <x v="0"/>
    <x v="1"/>
    <x v="1"/>
    <n v="7664.3909999999996"/>
    <x v="3"/>
    <x v="2"/>
    <n v="0"/>
    <s v="REG101008"/>
    <s v="Cust 3829"/>
    <n v="30.71"/>
    <d v="2024-08-29T00:00:00"/>
    <d v="2024-09-03T00:00:00"/>
    <x v="0"/>
  </r>
  <r>
    <x v="34"/>
    <x v="2"/>
    <x v="2"/>
    <n v="16"/>
    <n v="440.48"/>
    <x v="0"/>
    <x v="1"/>
    <x v="3"/>
    <x v="2"/>
    <n v="6695.2960000000003"/>
    <x v="4"/>
    <x v="0"/>
    <n v="1"/>
    <s v="REG101009"/>
    <s v="Cust 2561"/>
    <n v="26.87"/>
    <d v="2023-09-03T00:00:00"/>
    <d v="2023-09-10T00:00:00"/>
    <x v="2"/>
  </r>
  <r>
    <x v="460"/>
    <x v="0"/>
    <x v="0"/>
    <n v="8"/>
    <n v="262.62"/>
    <x v="2"/>
    <x v="0"/>
    <x v="0"/>
    <x v="1"/>
    <n v="2100.96"/>
    <x v="4"/>
    <x v="0"/>
    <n v="1"/>
    <s v="REG101010"/>
    <s v="Cust 8387"/>
    <n v="36.729999999999997"/>
    <d v="2025-05-19T00:00:00"/>
    <d v="2025-05-24T00:00:00"/>
    <x v="0"/>
  </r>
  <r>
    <x v="391"/>
    <x v="0"/>
    <x v="5"/>
    <n v="15"/>
    <n v="124.91"/>
    <x v="1"/>
    <x v="0"/>
    <x v="1"/>
    <x v="0"/>
    <n v="1686.2850000000001"/>
    <x v="1"/>
    <x v="0"/>
    <n v="0"/>
    <s v="REG101011"/>
    <s v="Cust 2860"/>
    <n v="31.95"/>
    <d v="2023-06-18T00:00:00"/>
    <d v="2023-06-26T00:00:00"/>
    <x v="0"/>
  </r>
  <r>
    <x v="324"/>
    <x v="4"/>
    <x v="4"/>
    <n v="9"/>
    <n v="391"/>
    <x v="3"/>
    <x v="0"/>
    <x v="1"/>
    <x v="0"/>
    <n v="3167.1"/>
    <x v="3"/>
    <x v="2"/>
    <n v="0"/>
    <s v="REG101012"/>
    <s v="Cust 7794"/>
    <n v="46.76"/>
    <d v="2025-06-18T00:00:00"/>
    <d v="2025-06-22T00:00:00"/>
    <x v="4"/>
  </r>
  <r>
    <x v="385"/>
    <x v="1"/>
    <x v="0"/>
    <n v="12"/>
    <n v="204.15"/>
    <x v="2"/>
    <x v="1"/>
    <x v="3"/>
    <x v="1"/>
    <n v="2327.31"/>
    <x v="3"/>
    <x v="0"/>
    <n v="1"/>
    <s v="REG101013"/>
    <s v="Cust 6075"/>
    <n v="26.4"/>
    <d v="2024-09-29T00:00:00"/>
    <d v="2024-10-07T00:00:00"/>
    <x v="1"/>
  </r>
  <r>
    <x v="626"/>
    <x v="0"/>
    <x v="0"/>
    <n v="20"/>
    <n v="13.64"/>
    <x v="2"/>
    <x v="1"/>
    <x v="2"/>
    <x v="2"/>
    <n v="231.88"/>
    <x v="2"/>
    <x v="1"/>
    <n v="0"/>
    <s v="REG101014"/>
    <s v="Cust 4337"/>
    <n v="33.6"/>
    <d v="2024-02-25T00:00:00"/>
    <d v="2024-03-04T00:00:00"/>
    <x v="0"/>
  </r>
  <r>
    <x v="58"/>
    <x v="2"/>
    <x v="6"/>
    <n v="14"/>
    <n v="524.9"/>
    <x v="2"/>
    <x v="0"/>
    <x v="3"/>
    <x v="1"/>
    <n v="6981.1699999999992"/>
    <x v="4"/>
    <x v="0"/>
    <n v="1"/>
    <s v="REG101015"/>
    <s v="Cust 2540"/>
    <n v="20.23"/>
    <d v="2024-03-21T00:00:00"/>
    <d v="2024-03-30T00:00:00"/>
    <x v="2"/>
  </r>
  <r>
    <x v="490"/>
    <x v="2"/>
    <x v="0"/>
    <n v="8"/>
    <n v="143.94999999999999"/>
    <x v="0"/>
    <x v="1"/>
    <x v="1"/>
    <x v="4"/>
    <n v="1036.44"/>
    <x v="4"/>
    <x v="1"/>
    <n v="0"/>
    <s v="REG101016"/>
    <s v="Cust 3944"/>
    <n v="28.09"/>
    <d v="2024-02-03T00:00:00"/>
    <d v="2024-02-09T00:00:00"/>
    <x v="2"/>
  </r>
  <r>
    <x v="283"/>
    <x v="1"/>
    <x v="0"/>
    <n v="2"/>
    <n v="576.84"/>
    <x v="3"/>
    <x v="1"/>
    <x v="1"/>
    <x v="2"/>
    <n v="1038.3119999999999"/>
    <x v="2"/>
    <x v="0"/>
    <n v="0"/>
    <s v="REG101017"/>
    <s v="Cust 8876"/>
    <n v="43.32"/>
    <d v="2023-11-21T00:00:00"/>
    <d v="2023-11-24T00:00:00"/>
    <x v="1"/>
  </r>
  <r>
    <x v="579"/>
    <x v="4"/>
    <x v="3"/>
    <n v="14"/>
    <n v="250.98"/>
    <x v="2"/>
    <x v="1"/>
    <x v="0"/>
    <x v="0"/>
    <n v="3513.72"/>
    <x v="3"/>
    <x v="3"/>
    <n v="0"/>
    <s v="REG101018"/>
    <s v="Cust 3286"/>
    <n v="14.94"/>
    <d v="2023-01-10T00:00:00"/>
    <d v="2023-01-18T00:00:00"/>
    <x v="4"/>
  </r>
  <r>
    <x v="235"/>
    <x v="3"/>
    <x v="1"/>
    <n v="7"/>
    <n v="335.41"/>
    <x v="2"/>
    <x v="1"/>
    <x v="0"/>
    <x v="5"/>
    <n v="2347.87"/>
    <x v="0"/>
    <x v="1"/>
    <n v="0"/>
    <s v="REG101019"/>
    <s v="Cust 4990"/>
    <n v="18.91"/>
    <d v="2023-02-06T00:00:00"/>
    <d v="2023-02-10T00:00:00"/>
    <x v="3"/>
  </r>
  <r>
    <x v="627"/>
    <x v="2"/>
    <x v="6"/>
    <n v="11"/>
    <n v="204.5"/>
    <x v="1"/>
    <x v="1"/>
    <x v="0"/>
    <x v="0"/>
    <n v="2249.5"/>
    <x v="3"/>
    <x v="2"/>
    <n v="0"/>
    <s v="REG101020"/>
    <s v="Cust 8706"/>
    <n v="13.82"/>
    <d v="2025-04-10T00:00:00"/>
    <d v="2025-04-20T00:00:00"/>
    <x v="2"/>
  </r>
  <r>
    <x v="628"/>
    <x v="0"/>
    <x v="5"/>
    <n v="1"/>
    <n v="542.63"/>
    <x v="1"/>
    <x v="1"/>
    <x v="3"/>
    <x v="3"/>
    <n v="515.49849999999992"/>
    <x v="2"/>
    <x v="3"/>
    <n v="0"/>
    <s v="REG101021"/>
    <s v="Cust 2608"/>
    <n v="33.200000000000003"/>
    <d v="2024-02-14T00:00:00"/>
    <d v="2024-02-21T00:00:00"/>
    <x v="0"/>
  </r>
  <r>
    <x v="499"/>
    <x v="0"/>
    <x v="1"/>
    <n v="1"/>
    <n v="204.54"/>
    <x v="3"/>
    <x v="1"/>
    <x v="1"/>
    <x v="3"/>
    <n v="184.08600000000001"/>
    <x v="0"/>
    <x v="3"/>
    <n v="1"/>
    <s v="REG101022"/>
    <s v="Cust 3290"/>
    <n v="17.760000000000002"/>
    <d v="2025-05-26T00:00:00"/>
    <d v="2025-05-29T00:00:00"/>
    <x v="0"/>
  </r>
  <r>
    <x v="629"/>
    <x v="4"/>
    <x v="3"/>
    <n v="10"/>
    <n v="419.58"/>
    <x v="1"/>
    <x v="0"/>
    <x v="2"/>
    <x v="0"/>
    <n v="3566.43"/>
    <x v="3"/>
    <x v="0"/>
    <n v="0"/>
    <s v="REG101023"/>
    <s v="Cust 3892"/>
    <n v="13.09"/>
    <d v="2023-09-12T00:00:00"/>
    <d v="2023-09-19T00:00:00"/>
    <x v="4"/>
  </r>
  <r>
    <x v="497"/>
    <x v="0"/>
    <x v="2"/>
    <n v="7"/>
    <n v="87.88"/>
    <x v="2"/>
    <x v="0"/>
    <x v="2"/>
    <x v="1"/>
    <n v="522.88599999999997"/>
    <x v="0"/>
    <x v="2"/>
    <n v="1"/>
    <s v="REG101024"/>
    <s v="Cust 6979"/>
    <n v="22.2"/>
    <d v="2023-05-17T00:00:00"/>
    <d v="2023-05-26T00:00:00"/>
    <x v="0"/>
  </r>
  <r>
    <x v="282"/>
    <x v="4"/>
    <x v="6"/>
    <n v="7"/>
    <n v="386.88"/>
    <x v="0"/>
    <x v="0"/>
    <x v="3"/>
    <x v="3"/>
    <n v="2572.752"/>
    <x v="4"/>
    <x v="1"/>
    <n v="0"/>
    <s v="REG101025"/>
    <s v="Cust 9375"/>
    <n v="38.46"/>
    <d v="2024-01-29T00:00:00"/>
    <d v="2024-01-31T00:00:00"/>
    <x v="4"/>
  </r>
  <r>
    <x v="589"/>
    <x v="2"/>
    <x v="2"/>
    <n v="4"/>
    <n v="242.8"/>
    <x v="3"/>
    <x v="0"/>
    <x v="3"/>
    <x v="4"/>
    <n v="922.64"/>
    <x v="3"/>
    <x v="0"/>
    <n v="0"/>
    <s v="REG101026"/>
    <s v="Cust 9311"/>
    <n v="30.03"/>
    <d v="2025-05-09T00:00:00"/>
    <d v="2025-05-18T00:00:00"/>
    <x v="2"/>
  </r>
  <r>
    <x v="393"/>
    <x v="0"/>
    <x v="6"/>
    <n v="4"/>
    <n v="410.59"/>
    <x v="1"/>
    <x v="1"/>
    <x v="0"/>
    <x v="0"/>
    <n v="1642.36"/>
    <x v="4"/>
    <x v="3"/>
    <n v="0"/>
    <s v="REG101027"/>
    <s v="Cust 4097"/>
    <n v="17.36"/>
    <d v="2024-04-05T00:00:00"/>
    <d v="2024-04-09T00:00:00"/>
    <x v="0"/>
  </r>
  <r>
    <x v="537"/>
    <x v="1"/>
    <x v="3"/>
    <n v="3"/>
    <n v="10.93"/>
    <x v="3"/>
    <x v="0"/>
    <x v="2"/>
    <x v="0"/>
    <n v="27.871500000000001"/>
    <x v="4"/>
    <x v="0"/>
    <n v="0"/>
    <s v="REG101028"/>
    <s v="Cust 6145"/>
    <n v="19.010000000000002"/>
    <d v="2024-08-01T00:00:00"/>
    <d v="2024-08-10T00:00:00"/>
    <x v="1"/>
  </r>
  <r>
    <x v="462"/>
    <x v="1"/>
    <x v="3"/>
    <n v="20"/>
    <n v="150.16"/>
    <x v="2"/>
    <x v="0"/>
    <x v="0"/>
    <x v="5"/>
    <n v="3003.2"/>
    <x v="4"/>
    <x v="3"/>
    <n v="0"/>
    <s v="REG101029"/>
    <s v="Cust 8124"/>
    <n v="41.66"/>
    <d v="2024-07-10T00:00:00"/>
    <d v="2024-07-12T00:00:00"/>
    <x v="1"/>
  </r>
  <r>
    <x v="351"/>
    <x v="0"/>
    <x v="3"/>
    <n v="1"/>
    <n v="394.41"/>
    <x v="0"/>
    <x v="1"/>
    <x v="1"/>
    <x v="1"/>
    <n v="354.96900000000011"/>
    <x v="1"/>
    <x v="2"/>
    <n v="0"/>
    <s v="REG101030"/>
    <s v="Cust 7826"/>
    <n v="6.37"/>
    <d v="2024-06-15T00:00:00"/>
    <d v="2024-06-20T00:00:00"/>
    <x v="0"/>
  </r>
  <r>
    <x v="521"/>
    <x v="0"/>
    <x v="4"/>
    <n v="6"/>
    <n v="535.38"/>
    <x v="2"/>
    <x v="0"/>
    <x v="2"/>
    <x v="1"/>
    <n v="2730.4380000000001"/>
    <x v="0"/>
    <x v="3"/>
    <n v="0"/>
    <s v="REG101031"/>
    <s v="Cust 3472"/>
    <n v="48.66"/>
    <d v="2024-05-22T00:00:00"/>
    <d v="2024-05-29T00:00:00"/>
    <x v="0"/>
  </r>
  <r>
    <x v="73"/>
    <x v="0"/>
    <x v="4"/>
    <n v="19"/>
    <n v="407.82"/>
    <x v="3"/>
    <x v="1"/>
    <x v="3"/>
    <x v="4"/>
    <n v="7361.1509999999998"/>
    <x v="1"/>
    <x v="0"/>
    <n v="0"/>
    <s v="REG101032"/>
    <s v="Cust 4266"/>
    <n v="38.979999999999997"/>
    <d v="2024-01-14T00:00:00"/>
    <d v="2024-01-18T00:00:00"/>
    <x v="0"/>
  </r>
  <r>
    <x v="335"/>
    <x v="2"/>
    <x v="5"/>
    <n v="16"/>
    <n v="120.83"/>
    <x v="0"/>
    <x v="1"/>
    <x v="3"/>
    <x v="3"/>
    <n v="1836.616"/>
    <x v="4"/>
    <x v="2"/>
    <n v="1"/>
    <s v="REG101033"/>
    <s v="Cust 8492"/>
    <n v="39.64"/>
    <d v="2024-10-31T00:00:00"/>
    <d v="2024-11-02T00:00:00"/>
    <x v="2"/>
  </r>
  <r>
    <x v="502"/>
    <x v="4"/>
    <x v="6"/>
    <n v="7"/>
    <n v="39.53"/>
    <x v="3"/>
    <x v="1"/>
    <x v="1"/>
    <x v="3"/>
    <n v="249.03899999999999"/>
    <x v="3"/>
    <x v="2"/>
    <n v="0"/>
    <s v="REG101034"/>
    <s v="Cust 7354"/>
    <n v="18.16"/>
    <d v="2024-04-23T00:00:00"/>
    <d v="2024-04-29T00:00:00"/>
    <x v="4"/>
  </r>
  <r>
    <x v="116"/>
    <x v="1"/>
    <x v="5"/>
    <n v="2"/>
    <n v="224.08"/>
    <x v="1"/>
    <x v="1"/>
    <x v="3"/>
    <x v="2"/>
    <n v="425.75200000000001"/>
    <x v="2"/>
    <x v="2"/>
    <n v="0"/>
    <s v="REG101035"/>
    <s v="Cust 6672"/>
    <n v="47.35"/>
    <d v="2023-06-14T00:00:00"/>
    <d v="2023-06-20T00:00:00"/>
    <x v="1"/>
  </r>
  <r>
    <x v="630"/>
    <x v="2"/>
    <x v="6"/>
    <n v="11"/>
    <n v="382.08"/>
    <x v="3"/>
    <x v="0"/>
    <x v="3"/>
    <x v="2"/>
    <n v="3992.7359999999999"/>
    <x v="4"/>
    <x v="2"/>
    <n v="0"/>
    <s v="REG101036"/>
    <s v="Cust 5589"/>
    <n v="5.95"/>
    <d v="2024-02-28T00:00:00"/>
    <d v="2024-03-02T00:00:00"/>
    <x v="2"/>
  </r>
  <r>
    <x v="389"/>
    <x v="1"/>
    <x v="6"/>
    <n v="9"/>
    <n v="88.49"/>
    <x v="3"/>
    <x v="0"/>
    <x v="3"/>
    <x v="4"/>
    <n v="756.58949999999993"/>
    <x v="0"/>
    <x v="3"/>
    <n v="0"/>
    <s v="REG101037"/>
    <s v="Cust 2770"/>
    <n v="35.6"/>
    <d v="2024-06-19T00:00:00"/>
    <d v="2024-06-26T00:00:00"/>
    <x v="1"/>
  </r>
  <r>
    <x v="132"/>
    <x v="3"/>
    <x v="5"/>
    <n v="20"/>
    <n v="139.1"/>
    <x v="2"/>
    <x v="0"/>
    <x v="3"/>
    <x v="3"/>
    <n v="2642.9"/>
    <x v="0"/>
    <x v="0"/>
    <n v="0"/>
    <s v="REG101038"/>
    <s v="Cust 7206"/>
    <n v="30.22"/>
    <d v="2023-03-18T00:00:00"/>
    <d v="2023-03-20T00:00:00"/>
    <x v="3"/>
  </r>
  <r>
    <x v="256"/>
    <x v="4"/>
    <x v="2"/>
    <n v="19"/>
    <n v="322.35000000000002"/>
    <x v="3"/>
    <x v="0"/>
    <x v="1"/>
    <x v="1"/>
    <n v="5512.1850000000004"/>
    <x v="3"/>
    <x v="2"/>
    <n v="0"/>
    <s v="REG101039"/>
    <s v="Cust 1580"/>
    <n v="30.06"/>
    <d v="2023-03-21T00:00:00"/>
    <d v="2023-03-31T00:00:00"/>
    <x v="4"/>
  </r>
  <r>
    <x v="17"/>
    <x v="0"/>
    <x v="6"/>
    <n v="16"/>
    <n v="334.55"/>
    <x v="0"/>
    <x v="0"/>
    <x v="1"/>
    <x v="0"/>
    <n v="4817.5200000000004"/>
    <x v="2"/>
    <x v="1"/>
    <n v="0"/>
    <s v="REG101040"/>
    <s v="Cust 5313"/>
    <n v="37.42"/>
    <d v="2024-05-28T00:00:00"/>
    <d v="2024-06-01T00:00:00"/>
    <x v="0"/>
  </r>
  <r>
    <x v="340"/>
    <x v="4"/>
    <x v="2"/>
    <n v="20"/>
    <n v="332.48"/>
    <x v="0"/>
    <x v="0"/>
    <x v="0"/>
    <x v="0"/>
    <n v="6649.6"/>
    <x v="0"/>
    <x v="1"/>
    <n v="1"/>
    <s v="REG101041"/>
    <s v="Cust 4209"/>
    <n v="7.79"/>
    <d v="2023-03-27T00:00:00"/>
    <d v="2023-03-30T00:00:00"/>
    <x v="4"/>
  </r>
  <r>
    <x v="182"/>
    <x v="3"/>
    <x v="6"/>
    <n v="1"/>
    <n v="123.4"/>
    <x v="1"/>
    <x v="1"/>
    <x v="0"/>
    <x v="0"/>
    <n v="123.4"/>
    <x v="4"/>
    <x v="3"/>
    <n v="1"/>
    <s v="REG101042"/>
    <s v="Cust 5861"/>
    <n v="12.63"/>
    <d v="2023-06-19T00:00:00"/>
    <d v="2023-06-25T00:00:00"/>
    <x v="3"/>
  </r>
  <r>
    <x v="372"/>
    <x v="1"/>
    <x v="0"/>
    <n v="3"/>
    <n v="88.26"/>
    <x v="3"/>
    <x v="0"/>
    <x v="3"/>
    <x v="5"/>
    <n v="251.541"/>
    <x v="3"/>
    <x v="0"/>
    <n v="0"/>
    <s v="REG101043"/>
    <s v="Cust 6348"/>
    <n v="46.45"/>
    <d v="2023-10-31T00:00:00"/>
    <d v="2023-11-07T00:00:00"/>
    <x v="1"/>
  </r>
  <r>
    <x v="445"/>
    <x v="4"/>
    <x v="1"/>
    <n v="13"/>
    <n v="50.51"/>
    <x v="3"/>
    <x v="0"/>
    <x v="1"/>
    <x v="1"/>
    <n v="590.96699999999998"/>
    <x v="3"/>
    <x v="2"/>
    <n v="0"/>
    <s v="REG101044"/>
    <s v="Cust 5210"/>
    <n v="40.57"/>
    <d v="2023-07-11T00:00:00"/>
    <d v="2023-07-18T00:00:00"/>
    <x v="4"/>
  </r>
  <r>
    <x v="631"/>
    <x v="1"/>
    <x v="4"/>
    <n v="11"/>
    <n v="237.99"/>
    <x v="3"/>
    <x v="0"/>
    <x v="3"/>
    <x v="5"/>
    <n v="2486.9955"/>
    <x v="3"/>
    <x v="0"/>
    <n v="0"/>
    <s v="REG101045"/>
    <s v="Cust 7325"/>
    <n v="44.7"/>
    <d v="2023-05-19T00:00:00"/>
    <d v="2023-05-28T00:00:00"/>
    <x v="1"/>
  </r>
  <r>
    <x v="285"/>
    <x v="2"/>
    <x v="3"/>
    <n v="7"/>
    <n v="294.95"/>
    <x v="3"/>
    <x v="0"/>
    <x v="0"/>
    <x v="2"/>
    <n v="2064.65"/>
    <x v="0"/>
    <x v="0"/>
    <n v="0"/>
    <s v="REG101046"/>
    <s v="Cust 5818"/>
    <n v="15.78"/>
    <d v="2023-08-05T00:00:00"/>
    <d v="2023-08-10T00:00:00"/>
    <x v="2"/>
  </r>
  <r>
    <x v="601"/>
    <x v="4"/>
    <x v="2"/>
    <n v="8"/>
    <n v="384.3"/>
    <x v="2"/>
    <x v="0"/>
    <x v="1"/>
    <x v="2"/>
    <n v="2766.96"/>
    <x v="1"/>
    <x v="0"/>
    <n v="0"/>
    <s v="REG101047"/>
    <s v="Cust 7773"/>
    <n v="48.83"/>
    <d v="2023-03-24T00:00:00"/>
    <d v="2023-04-03T00:00:00"/>
    <x v="4"/>
  </r>
  <r>
    <x v="202"/>
    <x v="4"/>
    <x v="4"/>
    <n v="1"/>
    <n v="378.35"/>
    <x v="2"/>
    <x v="0"/>
    <x v="3"/>
    <x v="4"/>
    <n v="359.4325"/>
    <x v="4"/>
    <x v="0"/>
    <n v="0"/>
    <s v="REG101048"/>
    <s v="Cust 3960"/>
    <n v="20.97"/>
    <d v="2025-02-14T00:00:00"/>
    <d v="2025-02-17T00:00:00"/>
    <x v="4"/>
  </r>
  <r>
    <x v="632"/>
    <x v="2"/>
    <x v="2"/>
    <n v="1"/>
    <n v="461.35"/>
    <x v="3"/>
    <x v="1"/>
    <x v="0"/>
    <x v="5"/>
    <n v="461.35"/>
    <x v="3"/>
    <x v="0"/>
    <n v="1"/>
    <s v="REG101049"/>
    <s v="Cust 4496"/>
    <n v="43.74"/>
    <d v="2024-12-14T00:00:00"/>
    <d v="2024-12-16T00:00:00"/>
    <x v="2"/>
  </r>
  <r>
    <x v="418"/>
    <x v="1"/>
    <x v="6"/>
    <n v="20"/>
    <n v="354.9"/>
    <x v="1"/>
    <x v="0"/>
    <x v="0"/>
    <x v="5"/>
    <n v="7098"/>
    <x v="1"/>
    <x v="2"/>
    <n v="0"/>
    <s v="REG101050"/>
    <s v="Cust 3875"/>
    <n v="43.24"/>
    <d v="2023-06-28T00:00:00"/>
    <d v="2023-07-01T00:00:00"/>
    <x v="1"/>
  </r>
  <r>
    <x v="191"/>
    <x v="4"/>
    <x v="2"/>
    <n v="7"/>
    <n v="438.41"/>
    <x v="2"/>
    <x v="1"/>
    <x v="1"/>
    <x v="4"/>
    <n v="2761.9830000000002"/>
    <x v="3"/>
    <x v="1"/>
    <n v="1"/>
    <s v="REG101051"/>
    <s v="Cust 7232"/>
    <n v="47.77"/>
    <d v="2023-01-24T00:00:00"/>
    <d v="2023-01-28T00:00:00"/>
    <x v="4"/>
  </r>
  <r>
    <x v="378"/>
    <x v="3"/>
    <x v="5"/>
    <n v="14"/>
    <n v="542.6"/>
    <x v="2"/>
    <x v="1"/>
    <x v="3"/>
    <x v="0"/>
    <n v="7216.58"/>
    <x v="3"/>
    <x v="3"/>
    <n v="0"/>
    <s v="REG101052"/>
    <s v="Cust 2137"/>
    <n v="44.76"/>
    <d v="2024-06-21T00:00:00"/>
    <d v="2024-06-30T00:00:00"/>
    <x v="3"/>
  </r>
  <r>
    <x v="320"/>
    <x v="2"/>
    <x v="6"/>
    <n v="3"/>
    <n v="238.82"/>
    <x v="2"/>
    <x v="1"/>
    <x v="1"/>
    <x v="5"/>
    <n v="644.81400000000008"/>
    <x v="1"/>
    <x v="2"/>
    <n v="0"/>
    <s v="REG101053"/>
    <s v="Cust 4537"/>
    <n v="37.07"/>
    <d v="2025-04-09T00:00:00"/>
    <d v="2025-04-18T00:00:00"/>
    <x v="2"/>
  </r>
  <r>
    <x v="405"/>
    <x v="2"/>
    <x v="5"/>
    <n v="16"/>
    <n v="332.19"/>
    <x v="2"/>
    <x v="1"/>
    <x v="1"/>
    <x v="0"/>
    <n v="4783.5360000000001"/>
    <x v="2"/>
    <x v="1"/>
    <n v="1"/>
    <s v="REG101054"/>
    <s v="Cust 6274"/>
    <n v="34.97"/>
    <d v="2025-01-11T00:00:00"/>
    <d v="2025-01-19T00:00:00"/>
    <x v="2"/>
  </r>
  <r>
    <x v="421"/>
    <x v="3"/>
    <x v="6"/>
    <n v="9"/>
    <n v="454.6"/>
    <x v="3"/>
    <x v="0"/>
    <x v="3"/>
    <x v="3"/>
    <n v="3886.83"/>
    <x v="3"/>
    <x v="3"/>
    <n v="0"/>
    <s v="REG101055"/>
    <s v="Cust 3810"/>
    <n v="32.86"/>
    <d v="2024-07-13T00:00:00"/>
    <d v="2024-07-20T00:00:00"/>
    <x v="3"/>
  </r>
  <r>
    <x v="602"/>
    <x v="4"/>
    <x v="6"/>
    <n v="6"/>
    <n v="540.54"/>
    <x v="1"/>
    <x v="1"/>
    <x v="3"/>
    <x v="3"/>
    <n v="3081.078"/>
    <x v="3"/>
    <x v="1"/>
    <n v="0"/>
    <s v="REG101056"/>
    <s v="Cust 5002"/>
    <n v="19.77"/>
    <d v="2025-01-04T00:00:00"/>
    <d v="2025-01-10T00:00:00"/>
    <x v="4"/>
  </r>
  <r>
    <x v="633"/>
    <x v="4"/>
    <x v="2"/>
    <n v="14"/>
    <n v="147.37"/>
    <x v="3"/>
    <x v="0"/>
    <x v="2"/>
    <x v="2"/>
    <n v="1753.703"/>
    <x v="3"/>
    <x v="2"/>
    <n v="1"/>
    <s v="REG101057"/>
    <s v="Cust 8551"/>
    <n v="45.75"/>
    <d v="2023-10-25T00:00:00"/>
    <d v="2023-10-31T00:00:00"/>
    <x v="4"/>
  </r>
  <r>
    <x v="508"/>
    <x v="1"/>
    <x v="0"/>
    <n v="7"/>
    <n v="421.12"/>
    <x v="3"/>
    <x v="0"/>
    <x v="2"/>
    <x v="4"/>
    <n v="2505.6640000000002"/>
    <x v="1"/>
    <x v="3"/>
    <n v="0"/>
    <s v="REG101058"/>
    <s v="Cust 8837"/>
    <n v="44.49"/>
    <d v="2023-09-30T00:00:00"/>
    <d v="2023-10-02T00:00:00"/>
    <x v="1"/>
  </r>
  <r>
    <x v="399"/>
    <x v="2"/>
    <x v="1"/>
    <n v="20"/>
    <n v="436.32"/>
    <x v="3"/>
    <x v="1"/>
    <x v="0"/>
    <x v="4"/>
    <n v="8726.4"/>
    <x v="2"/>
    <x v="0"/>
    <n v="1"/>
    <s v="REG101059"/>
    <s v="Cust 6523"/>
    <n v="37.49"/>
    <d v="2023-03-16T00:00:00"/>
    <d v="2023-03-26T00:00:00"/>
    <x v="2"/>
  </r>
  <r>
    <x v="238"/>
    <x v="2"/>
    <x v="0"/>
    <n v="18"/>
    <n v="436.83"/>
    <x v="1"/>
    <x v="0"/>
    <x v="1"/>
    <x v="5"/>
    <n v="7076.6459999999997"/>
    <x v="2"/>
    <x v="1"/>
    <n v="0"/>
    <s v="REG101060"/>
    <s v="Cust 1947"/>
    <n v="28.8"/>
    <d v="2023-07-26T00:00:00"/>
    <d v="2023-08-02T00:00:00"/>
    <x v="2"/>
  </r>
  <r>
    <x v="634"/>
    <x v="0"/>
    <x v="4"/>
    <n v="2"/>
    <n v="327.57"/>
    <x v="1"/>
    <x v="1"/>
    <x v="3"/>
    <x v="4"/>
    <n v="622.38299999999992"/>
    <x v="3"/>
    <x v="3"/>
    <n v="0"/>
    <s v="REG101061"/>
    <s v="Cust 3440"/>
    <n v="19.489999999999998"/>
    <d v="2023-07-10T00:00:00"/>
    <d v="2023-07-19T00:00:00"/>
    <x v="0"/>
  </r>
  <r>
    <x v="635"/>
    <x v="0"/>
    <x v="6"/>
    <n v="18"/>
    <n v="166.92"/>
    <x v="2"/>
    <x v="0"/>
    <x v="3"/>
    <x v="1"/>
    <n v="2854.3319999999999"/>
    <x v="1"/>
    <x v="2"/>
    <n v="0"/>
    <s v="REG101062"/>
    <s v="Cust 4102"/>
    <n v="9.35"/>
    <d v="2024-08-06T00:00:00"/>
    <d v="2024-08-16T00:00:00"/>
    <x v="0"/>
  </r>
  <r>
    <x v="617"/>
    <x v="3"/>
    <x v="1"/>
    <n v="14"/>
    <n v="300.38"/>
    <x v="1"/>
    <x v="1"/>
    <x v="1"/>
    <x v="1"/>
    <n v="3784.788"/>
    <x v="0"/>
    <x v="3"/>
    <n v="0"/>
    <s v="REG101063"/>
    <s v="Cust 4145"/>
    <n v="38.6"/>
    <d v="2024-07-16T00:00:00"/>
    <d v="2024-07-19T00:00:00"/>
    <x v="3"/>
  </r>
  <r>
    <x v="636"/>
    <x v="2"/>
    <x v="6"/>
    <n v="5"/>
    <n v="232.29"/>
    <x v="1"/>
    <x v="0"/>
    <x v="0"/>
    <x v="1"/>
    <n v="1161.45"/>
    <x v="0"/>
    <x v="3"/>
    <n v="1"/>
    <s v="REG101064"/>
    <s v="Cust 5206"/>
    <n v="42.38"/>
    <d v="2024-01-31T00:00:00"/>
    <d v="2024-02-09T00:00:00"/>
    <x v="2"/>
  </r>
  <r>
    <x v="573"/>
    <x v="3"/>
    <x v="5"/>
    <n v="1"/>
    <n v="173.44"/>
    <x v="1"/>
    <x v="1"/>
    <x v="0"/>
    <x v="5"/>
    <n v="173.44"/>
    <x v="1"/>
    <x v="0"/>
    <n v="0"/>
    <s v="REG101065"/>
    <s v="Cust 4022"/>
    <n v="32.83"/>
    <d v="2023-04-22T00:00:00"/>
    <d v="2023-04-24T00:00:00"/>
    <x v="3"/>
  </r>
  <r>
    <x v="599"/>
    <x v="0"/>
    <x v="1"/>
    <n v="9"/>
    <n v="256.14"/>
    <x v="1"/>
    <x v="1"/>
    <x v="2"/>
    <x v="2"/>
    <n v="1959.471"/>
    <x v="2"/>
    <x v="1"/>
    <n v="1"/>
    <s v="REG101066"/>
    <s v="Cust 8676"/>
    <n v="5.21"/>
    <d v="2025-02-04T00:00:00"/>
    <d v="2025-02-07T00:00:00"/>
    <x v="0"/>
  </r>
  <r>
    <x v="225"/>
    <x v="3"/>
    <x v="0"/>
    <n v="12"/>
    <n v="461.3"/>
    <x v="3"/>
    <x v="0"/>
    <x v="2"/>
    <x v="4"/>
    <n v="4705.26"/>
    <x v="1"/>
    <x v="0"/>
    <n v="0"/>
    <s v="REG101067"/>
    <s v="Cust 7492"/>
    <n v="8.6"/>
    <d v="2024-08-25T00:00:00"/>
    <d v="2024-09-03T00:00:00"/>
    <x v="3"/>
  </r>
  <r>
    <x v="286"/>
    <x v="0"/>
    <x v="1"/>
    <n v="1"/>
    <n v="193.08"/>
    <x v="1"/>
    <x v="0"/>
    <x v="3"/>
    <x v="2"/>
    <n v="183.42599999999999"/>
    <x v="0"/>
    <x v="1"/>
    <n v="0"/>
    <s v="REG101068"/>
    <s v="Cust 3150"/>
    <n v="23.99"/>
    <d v="2023-08-30T00:00:00"/>
    <d v="2023-09-05T00:00:00"/>
    <x v="0"/>
  </r>
  <r>
    <x v="476"/>
    <x v="4"/>
    <x v="3"/>
    <n v="3"/>
    <n v="312.97000000000003"/>
    <x v="2"/>
    <x v="1"/>
    <x v="3"/>
    <x v="0"/>
    <n v="891.96450000000004"/>
    <x v="2"/>
    <x v="3"/>
    <n v="1"/>
    <s v="REG101069"/>
    <s v="Cust 7872"/>
    <n v="20.059999999999999"/>
    <d v="2023-09-06T00:00:00"/>
    <d v="2023-09-12T00:00:00"/>
    <x v="4"/>
  </r>
  <r>
    <x v="92"/>
    <x v="1"/>
    <x v="0"/>
    <n v="6"/>
    <n v="214.14"/>
    <x v="3"/>
    <x v="0"/>
    <x v="3"/>
    <x v="4"/>
    <n v="1220.598"/>
    <x v="4"/>
    <x v="0"/>
    <n v="0"/>
    <s v="REG101070"/>
    <s v="Cust 8762"/>
    <n v="44.86"/>
    <d v="2025-05-13T00:00:00"/>
    <d v="2025-05-21T00:00:00"/>
    <x v="1"/>
  </r>
  <r>
    <x v="637"/>
    <x v="2"/>
    <x v="1"/>
    <n v="4"/>
    <n v="59.8"/>
    <x v="3"/>
    <x v="1"/>
    <x v="1"/>
    <x v="2"/>
    <n v="215.28"/>
    <x v="0"/>
    <x v="0"/>
    <n v="0"/>
    <s v="REG101071"/>
    <s v="Cust 4004"/>
    <n v="42.59"/>
    <d v="2023-10-29T00:00:00"/>
    <d v="2023-11-06T00:00:00"/>
    <x v="2"/>
  </r>
  <r>
    <x v="638"/>
    <x v="0"/>
    <x v="0"/>
    <n v="9"/>
    <n v="418"/>
    <x v="2"/>
    <x v="0"/>
    <x v="0"/>
    <x v="5"/>
    <n v="3762"/>
    <x v="2"/>
    <x v="2"/>
    <n v="0"/>
    <s v="REG101072"/>
    <s v="Cust 2781"/>
    <n v="30.45"/>
    <d v="2024-06-12T00:00:00"/>
    <d v="2024-06-18T00:00:00"/>
    <x v="0"/>
  </r>
  <r>
    <x v="233"/>
    <x v="1"/>
    <x v="3"/>
    <n v="1"/>
    <n v="80.959999999999994"/>
    <x v="1"/>
    <x v="0"/>
    <x v="0"/>
    <x v="5"/>
    <n v="80.959999999999994"/>
    <x v="2"/>
    <x v="0"/>
    <n v="0"/>
    <s v="REG101073"/>
    <s v="Cust 9982"/>
    <n v="48.07"/>
    <d v="2023-02-02T00:00:00"/>
    <d v="2023-02-05T00:00:00"/>
    <x v="1"/>
  </r>
  <r>
    <x v="639"/>
    <x v="0"/>
    <x v="1"/>
    <n v="20"/>
    <n v="42.12"/>
    <x v="0"/>
    <x v="0"/>
    <x v="2"/>
    <x v="1"/>
    <n v="716.04"/>
    <x v="2"/>
    <x v="3"/>
    <n v="0"/>
    <s v="REG101074"/>
    <s v="Cust 9561"/>
    <n v="43.22"/>
    <d v="2023-05-04T00:00:00"/>
    <d v="2023-05-12T00:00:00"/>
    <x v="0"/>
  </r>
  <r>
    <x v="56"/>
    <x v="4"/>
    <x v="4"/>
    <n v="3"/>
    <n v="366.65"/>
    <x v="3"/>
    <x v="0"/>
    <x v="0"/>
    <x v="3"/>
    <n v="1099.95"/>
    <x v="2"/>
    <x v="1"/>
    <n v="0"/>
    <s v="REG101075"/>
    <s v="Cust 3496"/>
    <n v="33.6"/>
    <d v="2023-05-24T00:00:00"/>
    <d v="2023-05-31T00:00:00"/>
    <x v="4"/>
  </r>
  <r>
    <x v="151"/>
    <x v="4"/>
    <x v="4"/>
    <n v="19"/>
    <n v="534.91999999999996"/>
    <x v="3"/>
    <x v="1"/>
    <x v="0"/>
    <x v="4"/>
    <n v="10163.48"/>
    <x v="0"/>
    <x v="3"/>
    <n v="0"/>
    <s v="REG101076"/>
    <s v="Cust 4085"/>
    <n v="26.97"/>
    <d v="2023-02-03T00:00:00"/>
    <d v="2023-02-13T00:00:00"/>
    <x v="4"/>
  </r>
  <r>
    <x v="486"/>
    <x v="0"/>
    <x v="3"/>
    <n v="1"/>
    <n v="494.52"/>
    <x v="3"/>
    <x v="1"/>
    <x v="0"/>
    <x v="5"/>
    <n v="494.52"/>
    <x v="2"/>
    <x v="3"/>
    <n v="0"/>
    <s v="REG101077"/>
    <s v="Cust 1921"/>
    <n v="43.02"/>
    <d v="2023-12-25T00:00:00"/>
    <d v="2024-01-02T00:00:00"/>
    <x v="0"/>
  </r>
  <r>
    <x v="238"/>
    <x v="0"/>
    <x v="4"/>
    <n v="6"/>
    <n v="344.67"/>
    <x v="3"/>
    <x v="0"/>
    <x v="1"/>
    <x v="4"/>
    <n v="1861.2180000000001"/>
    <x v="0"/>
    <x v="1"/>
    <n v="1"/>
    <s v="REG101078"/>
    <s v="Cust 9053"/>
    <n v="31.13"/>
    <d v="2023-07-26T00:00:00"/>
    <d v="2023-08-01T00:00:00"/>
    <x v="0"/>
  </r>
  <r>
    <x v="566"/>
    <x v="3"/>
    <x v="4"/>
    <n v="12"/>
    <n v="489.14"/>
    <x v="3"/>
    <x v="1"/>
    <x v="2"/>
    <x v="5"/>
    <n v="4989.2280000000001"/>
    <x v="0"/>
    <x v="1"/>
    <n v="0"/>
    <s v="REG101079"/>
    <s v="Cust 9345"/>
    <n v="29.31"/>
    <d v="2024-06-06T00:00:00"/>
    <d v="2024-06-15T00:00:00"/>
    <x v="3"/>
  </r>
  <r>
    <x v="129"/>
    <x v="1"/>
    <x v="6"/>
    <n v="18"/>
    <n v="256.23"/>
    <x v="0"/>
    <x v="0"/>
    <x v="3"/>
    <x v="0"/>
    <n v="4381.5330000000004"/>
    <x v="3"/>
    <x v="3"/>
    <n v="0"/>
    <s v="REG101080"/>
    <s v="Cust 3559"/>
    <n v="11.21"/>
    <d v="2024-10-13T00:00:00"/>
    <d v="2024-10-18T00:00:00"/>
    <x v="1"/>
  </r>
  <r>
    <x v="640"/>
    <x v="2"/>
    <x v="6"/>
    <n v="17"/>
    <n v="99.76"/>
    <x v="2"/>
    <x v="0"/>
    <x v="0"/>
    <x v="4"/>
    <n v="1695.92"/>
    <x v="0"/>
    <x v="0"/>
    <n v="1"/>
    <s v="REG101081"/>
    <s v="Cust 1762"/>
    <n v="21.89"/>
    <d v="2024-11-03T00:00:00"/>
    <d v="2024-11-13T00:00:00"/>
    <x v="2"/>
  </r>
  <r>
    <x v="490"/>
    <x v="2"/>
    <x v="6"/>
    <n v="14"/>
    <n v="575.66"/>
    <x v="2"/>
    <x v="0"/>
    <x v="1"/>
    <x v="2"/>
    <n v="7253.3159999999998"/>
    <x v="2"/>
    <x v="3"/>
    <n v="0"/>
    <s v="REG101082"/>
    <s v="Cust 7060"/>
    <n v="32.53"/>
    <d v="2024-02-03T00:00:00"/>
    <d v="2024-02-11T00:00:00"/>
    <x v="2"/>
  </r>
  <r>
    <x v="579"/>
    <x v="0"/>
    <x v="3"/>
    <n v="6"/>
    <n v="176.52"/>
    <x v="3"/>
    <x v="0"/>
    <x v="2"/>
    <x v="1"/>
    <n v="900.25200000000007"/>
    <x v="0"/>
    <x v="0"/>
    <n v="0"/>
    <s v="REG101083"/>
    <s v="Cust 8796"/>
    <n v="16.98"/>
    <d v="2023-01-10T00:00:00"/>
    <d v="2023-01-13T00:00:00"/>
    <x v="0"/>
  </r>
  <r>
    <x v="641"/>
    <x v="0"/>
    <x v="5"/>
    <n v="6"/>
    <n v="485.66"/>
    <x v="3"/>
    <x v="0"/>
    <x v="3"/>
    <x v="0"/>
    <n v="2768.2620000000002"/>
    <x v="1"/>
    <x v="0"/>
    <n v="0"/>
    <s v="REG101084"/>
    <s v="Cust 6055"/>
    <n v="30.62"/>
    <d v="2023-10-16T00:00:00"/>
    <d v="2023-10-22T00:00:00"/>
    <x v="0"/>
  </r>
  <r>
    <x v="302"/>
    <x v="3"/>
    <x v="0"/>
    <n v="8"/>
    <n v="141.61000000000001"/>
    <x v="0"/>
    <x v="1"/>
    <x v="1"/>
    <x v="5"/>
    <n v="1019.592"/>
    <x v="1"/>
    <x v="2"/>
    <n v="0"/>
    <s v="REG101085"/>
    <s v="Cust 5779"/>
    <n v="14.02"/>
    <d v="2025-03-19T00:00:00"/>
    <d v="2025-03-24T00:00:00"/>
    <x v="3"/>
  </r>
  <r>
    <x v="284"/>
    <x v="4"/>
    <x v="2"/>
    <n v="9"/>
    <n v="215.29"/>
    <x v="2"/>
    <x v="0"/>
    <x v="1"/>
    <x v="1"/>
    <n v="1743.8489999999999"/>
    <x v="2"/>
    <x v="2"/>
    <n v="0"/>
    <s v="REG101086"/>
    <s v="Cust 9330"/>
    <n v="5.84"/>
    <d v="2024-12-16T00:00:00"/>
    <d v="2024-12-19T00:00:00"/>
    <x v="4"/>
  </r>
  <r>
    <x v="484"/>
    <x v="4"/>
    <x v="0"/>
    <n v="18"/>
    <n v="497.22"/>
    <x v="0"/>
    <x v="0"/>
    <x v="3"/>
    <x v="4"/>
    <n v="8502.4620000000014"/>
    <x v="2"/>
    <x v="2"/>
    <n v="0"/>
    <s v="REG101087"/>
    <s v="Cust 5374"/>
    <n v="17.39"/>
    <d v="2023-08-16T00:00:00"/>
    <d v="2023-08-20T00:00:00"/>
    <x v="4"/>
  </r>
  <r>
    <x v="579"/>
    <x v="0"/>
    <x v="2"/>
    <n v="13"/>
    <n v="347.73"/>
    <x v="0"/>
    <x v="0"/>
    <x v="3"/>
    <x v="4"/>
    <n v="4294.4654999999993"/>
    <x v="1"/>
    <x v="0"/>
    <n v="1"/>
    <s v="REG101088"/>
    <s v="Cust 3321"/>
    <n v="31.81"/>
    <d v="2023-01-10T00:00:00"/>
    <d v="2023-01-20T00:00:00"/>
    <x v="0"/>
  </r>
  <r>
    <x v="589"/>
    <x v="3"/>
    <x v="3"/>
    <n v="3"/>
    <n v="371.21"/>
    <x v="2"/>
    <x v="0"/>
    <x v="1"/>
    <x v="0"/>
    <n v="1002.2670000000001"/>
    <x v="1"/>
    <x v="1"/>
    <n v="0"/>
    <s v="REG101089"/>
    <s v="Cust 6554"/>
    <n v="20.02"/>
    <d v="2025-05-09T00:00:00"/>
    <d v="2025-05-18T00:00:00"/>
    <x v="3"/>
  </r>
  <r>
    <x v="413"/>
    <x v="0"/>
    <x v="6"/>
    <n v="12"/>
    <n v="434.33"/>
    <x v="1"/>
    <x v="0"/>
    <x v="2"/>
    <x v="5"/>
    <n v="4430.1660000000002"/>
    <x v="4"/>
    <x v="0"/>
    <n v="0"/>
    <s v="REG101090"/>
    <s v="Cust 6855"/>
    <n v="15.33"/>
    <d v="2024-04-08T00:00:00"/>
    <d v="2024-04-16T00:00:00"/>
    <x v="0"/>
  </r>
  <r>
    <x v="276"/>
    <x v="0"/>
    <x v="4"/>
    <n v="16"/>
    <n v="426.65"/>
    <x v="1"/>
    <x v="1"/>
    <x v="1"/>
    <x v="4"/>
    <n v="6143.76"/>
    <x v="1"/>
    <x v="3"/>
    <n v="0"/>
    <s v="REG101091"/>
    <s v="Cust 9955"/>
    <n v="10.199999999999999"/>
    <d v="2025-05-06T00:00:00"/>
    <d v="2025-05-15T00:00:00"/>
    <x v="0"/>
  </r>
  <r>
    <x v="642"/>
    <x v="4"/>
    <x v="2"/>
    <n v="6"/>
    <n v="294.97000000000003"/>
    <x v="1"/>
    <x v="0"/>
    <x v="3"/>
    <x v="5"/>
    <n v="1681.329"/>
    <x v="2"/>
    <x v="2"/>
    <n v="0"/>
    <s v="REG101092"/>
    <s v="Cust 3320"/>
    <n v="48.08"/>
    <d v="2023-05-21T00:00:00"/>
    <d v="2023-05-29T00:00:00"/>
    <x v="4"/>
  </r>
  <r>
    <x v="488"/>
    <x v="3"/>
    <x v="1"/>
    <n v="12"/>
    <n v="130.9"/>
    <x v="3"/>
    <x v="1"/>
    <x v="2"/>
    <x v="1"/>
    <n v="1335.18"/>
    <x v="3"/>
    <x v="1"/>
    <n v="0"/>
    <s v="REG101093"/>
    <s v="Cust 8177"/>
    <n v="34.69"/>
    <d v="2023-11-23T00:00:00"/>
    <d v="2023-11-30T00:00:00"/>
    <x v="3"/>
  </r>
  <r>
    <x v="643"/>
    <x v="2"/>
    <x v="4"/>
    <n v="18"/>
    <n v="539.98"/>
    <x v="2"/>
    <x v="1"/>
    <x v="2"/>
    <x v="0"/>
    <n v="8261.6939999999995"/>
    <x v="4"/>
    <x v="0"/>
    <n v="1"/>
    <s v="REG101094"/>
    <s v="Cust 1743"/>
    <n v="34.44"/>
    <d v="2024-03-26T00:00:00"/>
    <d v="2024-04-05T00:00:00"/>
    <x v="2"/>
  </r>
  <r>
    <x v="644"/>
    <x v="1"/>
    <x v="2"/>
    <n v="12"/>
    <n v="149.37"/>
    <x v="3"/>
    <x v="1"/>
    <x v="1"/>
    <x v="5"/>
    <n v="1613.1959999999999"/>
    <x v="2"/>
    <x v="3"/>
    <n v="0"/>
    <s v="REG101095"/>
    <s v="Cust 3719"/>
    <n v="20.21"/>
    <d v="2024-09-25T00:00:00"/>
    <d v="2024-10-02T00:00:00"/>
    <x v="1"/>
  </r>
  <r>
    <x v="645"/>
    <x v="0"/>
    <x v="3"/>
    <n v="5"/>
    <n v="411.24"/>
    <x v="1"/>
    <x v="0"/>
    <x v="2"/>
    <x v="5"/>
    <n v="1747.77"/>
    <x v="4"/>
    <x v="2"/>
    <n v="1"/>
    <s v="REG101096"/>
    <s v="Cust 9323"/>
    <n v="5.35"/>
    <d v="2023-04-06T00:00:00"/>
    <d v="2023-04-10T00:00:00"/>
    <x v="0"/>
  </r>
  <r>
    <x v="503"/>
    <x v="2"/>
    <x v="3"/>
    <n v="16"/>
    <n v="462.86"/>
    <x v="3"/>
    <x v="1"/>
    <x v="3"/>
    <x v="5"/>
    <n v="7035.4719999999998"/>
    <x v="4"/>
    <x v="3"/>
    <n v="1"/>
    <s v="REG101097"/>
    <s v="Cust 1914"/>
    <n v="17.43"/>
    <d v="2024-06-24T00:00:00"/>
    <d v="2024-06-26T00:00:00"/>
    <x v="2"/>
  </r>
  <r>
    <x v="646"/>
    <x v="1"/>
    <x v="0"/>
    <n v="17"/>
    <n v="506.38"/>
    <x v="0"/>
    <x v="0"/>
    <x v="0"/>
    <x v="3"/>
    <n v="8608.4599999999991"/>
    <x v="4"/>
    <x v="2"/>
    <n v="1"/>
    <s v="REG101098"/>
    <s v="Cust 5928"/>
    <n v="33.36"/>
    <d v="2024-12-15T00:00:00"/>
    <d v="2024-12-23T00:00:00"/>
    <x v="1"/>
  </r>
  <r>
    <x v="449"/>
    <x v="2"/>
    <x v="2"/>
    <n v="19"/>
    <n v="25.61"/>
    <x v="0"/>
    <x v="1"/>
    <x v="0"/>
    <x v="5"/>
    <n v="486.59"/>
    <x v="1"/>
    <x v="3"/>
    <n v="0"/>
    <s v="REG101099"/>
    <s v="Cust 1904"/>
    <n v="30.32"/>
    <d v="2024-10-03T00:00:00"/>
    <d v="2024-10-11T00:00:00"/>
    <x v="2"/>
  </r>
  <r>
    <x v="34"/>
    <x v="1"/>
    <x v="2"/>
    <n v="4"/>
    <n v="467.45"/>
    <x v="2"/>
    <x v="0"/>
    <x v="3"/>
    <x v="2"/>
    <n v="1776.31"/>
    <x v="1"/>
    <x v="2"/>
    <n v="0"/>
    <s v="REG101100"/>
    <s v="Cust 8062"/>
    <n v="25.05"/>
    <d v="2023-09-03T00:00:00"/>
    <d v="2023-09-13T00:00:00"/>
    <x v="1"/>
  </r>
  <r>
    <x v="603"/>
    <x v="2"/>
    <x v="6"/>
    <n v="10"/>
    <n v="140.5"/>
    <x v="0"/>
    <x v="1"/>
    <x v="2"/>
    <x v="3"/>
    <n v="1194.25"/>
    <x v="0"/>
    <x v="0"/>
    <n v="0"/>
    <s v="REG101101"/>
    <s v="Cust 8150"/>
    <n v="43.81"/>
    <d v="2023-01-29T00:00:00"/>
    <d v="2023-02-05T00:00:00"/>
    <x v="2"/>
  </r>
  <r>
    <x v="638"/>
    <x v="2"/>
    <x v="1"/>
    <n v="8"/>
    <n v="57.85"/>
    <x v="3"/>
    <x v="0"/>
    <x v="0"/>
    <x v="2"/>
    <n v="462.8"/>
    <x v="0"/>
    <x v="2"/>
    <n v="1"/>
    <s v="REG101102"/>
    <s v="Cust 3275"/>
    <n v="49.82"/>
    <d v="2024-06-12T00:00:00"/>
    <d v="2024-06-20T00:00:00"/>
    <x v="2"/>
  </r>
  <r>
    <x v="224"/>
    <x v="2"/>
    <x v="4"/>
    <n v="9"/>
    <n v="539.64"/>
    <x v="1"/>
    <x v="1"/>
    <x v="2"/>
    <x v="1"/>
    <n v="4128.2460000000001"/>
    <x v="1"/>
    <x v="3"/>
    <n v="0"/>
    <s v="REG101103"/>
    <s v="Cust 3854"/>
    <n v="16.079999999999998"/>
    <d v="2024-11-24T00:00:00"/>
    <d v="2024-12-03T00:00:00"/>
    <x v="2"/>
  </r>
  <r>
    <x v="374"/>
    <x v="4"/>
    <x v="4"/>
    <n v="18"/>
    <n v="476.32"/>
    <x v="1"/>
    <x v="0"/>
    <x v="0"/>
    <x v="4"/>
    <n v="8573.76"/>
    <x v="2"/>
    <x v="1"/>
    <n v="1"/>
    <s v="REG101104"/>
    <s v="Cust 8398"/>
    <n v="47.43"/>
    <d v="2023-08-15T00:00:00"/>
    <d v="2023-08-20T00:00:00"/>
    <x v="4"/>
  </r>
  <r>
    <x v="647"/>
    <x v="3"/>
    <x v="5"/>
    <n v="11"/>
    <n v="143.85"/>
    <x v="1"/>
    <x v="0"/>
    <x v="1"/>
    <x v="0"/>
    <n v="1424.115"/>
    <x v="3"/>
    <x v="0"/>
    <n v="0"/>
    <s v="REG101105"/>
    <s v="Cust 4026"/>
    <n v="6.85"/>
    <d v="2024-08-21T00:00:00"/>
    <d v="2024-08-30T00:00:00"/>
    <x v="3"/>
  </r>
  <r>
    <x v="56"/>
    <x v="4"/>
    <x v="4"/>
    <n v="4"/>
    <n v="323.63"/>
    <x v="2"/>
    <x v="1"/>
    <x v="1"/>
    <x v="3"/>
    <n v="1165.068"/>
    <x v="2"/>
    <x v="0"/>
    <n v="0"/>
    <s v="REG101106"/>
    <s v="Cust 5794"/>
    <n v="32.92"/>
    <d v="2023-05-24T00:00:00"/>
    <d v="2023-06-01T00:00:00"/>
    <x v="4"/>
  </r>
  <r>
    <x v="178"/>
    <x v="4"/>
    <x v="4"/>
    <n v="16"/>
    <n v="37.4"/>
    <x v="1"/>
    <x v="0"/>
    <x v="3"/>
    <x v="5"/>
    <n v="568.4799999999999"/>
    <x v="2"/>
    <x v="0"/>
    <n v="0"/>
    <s v="REG101107"/>
    <s v="Cust 2917"/>
    <n v="49.55"/>
    <d v="2023-04-27T00:00:00"/>
    <d v="2023-05-01T00:00:00"/>
    <x v="4"/>
  </r>
  <r>
    <x v="642"/>
    <x v="0"/>
    <x v="5"/>
    <n v="1"/>
    <n v="418.98"/>
    <x v="0"/>
    <x v="1"/>
    <x v="1"/>
    <x v="3"/>
    <n v="377.08200000000011"/>
    <x v="1"/>
    <x v="0"/>
    <n v="0"/>
    <s v="REG101108"/>
    <s v="Cust 5659"/>
    <n v="43.72"/>
    <d v="2023-05-21T00:00:00"/>
    <d v="2023-05-26T00:00:00"/>
    <x v="0"/>
  </r>
  <r>
    <x v="586"/>
    <x v="0"/>
    <x v="4"/>
    <n v="12"/>
    <n v="108.35"/>
    <x v="1"/>
    <x v="0"/>
    <x v="0"/>
    <x v="4"/>
    <n v="1300.2"/>
    <x v="0"/>
    <x v="0"/>
    <n v="0"/>
    <s v="REG101109"/>
    <s v="Cust 1857"/>
    <n v="42.06"/>
    <d v="2025-02-16T00:00:00"/>
    <d v="2025-02-25T00:00:00"/>
    <x v="0"/>
  </r>
  <r>
    <x v="648"/>
    <x v="0"/>
    <x v="5"/>
    <n v="5"/>
    <n v="256.42"/>
    <x v="0"/>
    <x v="1"/>
    <x v="0"/>
    <x v="1"/>
    <n v="1282.0999999999999"/>
    <x v="1"/>
    <x v="0"/>
    <n v="0"/>
    <s v="REG101110"/>
    <s v="Cust 6718"/>
    <n v="28.74"/>
    <d v="2023-08-24T00:00:00"/>
    <d v="2023-08-29T00:00:00"/>
    <x v="0"/>
  </r>
  <r>
    <x v="47"/>
    <x v="0"/>
    <x v="2"/>
    <n v="16"/>
    <n v="544.91"/>
    <x v="0"/>
    <x v="1"/>
    <x v="1"/>
    <x v="2"/>
    <n v="7846.7039999999997"/>
    <x v="2"/>
    <x v="0"/>
    <n v="0"/>
    <s v="REG101111"/>
    <s v="Cust 8378"/>
    <n v="39.26"/>
    <d v="2024-03-14T00:00:00"/>
    <d v="2024-03-21T00:00:00"/>
    <x v="0"/>
  </r>
  <r>
    <x v="282"/>
    <x v="2"/>
    <x v="2"/>
    <n v="19"/>
    <n v="113.42"/>
    <x v="1"/>
    <x v="1"/>
    <x v="0"/>
    <x v="0"/>
    <n v="2154.98"/>
    <x v="3"/>
    <x v="2"/>
    <n v="0"/>
    <s v="REG101112"/>
    <s v="Cust 3069"/>
    <n v="44.96"/>
    <d v="2024-01-29T00:00:00"/>
    <d v="2024-02-07T00:00:00"/>
    <x v="2"/>
  </r>
  <r>
    <x v="649"/>
    <x v="1"/>
    <x v="1"/>
    <n v="10"/>
    <n v="522.73"/>
    <x v="2"/>
    <x v="1"/>
    <x v="1"/>
    <x v="5"/>
    <n v="4704.5700000000006"/>
    <x v="2"/>
    <x v="3"/>
    <n v="0"/>
    <s v="REG101113"/>
    <s v="Cust 7619"/>
    <n v="20.059999999999999"/>
    <d v="2024-08-09T00:00:00"/>
    <d v="2024-08-15T00:00:00"/>
    <x v="1"/>
  </r>
  <r>
    <x v="172"/>
    <x v="2"/>
    <x v="5"/>
    <n v="18"/>
    <n v="448.03"/>
    <x v="0"/>
    <x v="1"/>
    <x v="2"/>
    <x v="2"/>
    <n v="6854.8589999999986"/>
    <x v="4"/>
    <x v="2"/>
    <n v="1"/>
    <s v="REG101114"/>
    <s v="Cust 6167"/>
    <n v="13.23"/>
    <d v="2024-07-08T00:00:00"/>
    <d v="2024-07-17T00:00:00"/>
    <x v="2"/>
  </r>
  <r>
    <x v="650"/>
    <x v="2"/>
    <x v="4"/>
    <n v="15"/>
    <n v="208.51"/>
    <x v="1"/>
    <x v="1"/>
    <x v="3"/>
    <x v="3"/>
    <n v="2971.267499999999"/>
    <x v="1"/>
    <x v="3"/>
    <n v="0"/>
    <s v="REG101115"/>
    <s v="Cust 2453"/>
    <n v="37.81"/>
    <d v="2024-08-20T00:00:00"/>
    <d v="2024-08-29T00:00:00"/>
    <x v="2"/>
  </r>
  <r>
    <x v="651"/>
    <x v="3"/>
    <x v="0"/>
    <n v="13"/>
    <n v="423.64"/>
    <x v="2"/>
    <x v="1"/>
    <x v="1"/>
    <x v="1"/>
    <n v="4956.5879999999997"/>
    <x v="3"/>
    <x v="3"/>
    <n v="1"/>
    <s v="REG101116"/>
    <s v="Cust 8896"/>
    <n v="23.31"/>
    <d v="2023-06-26T00:00:00"/>
    <d v="2023-06-28T00:00:00"/>
    <x v="3"/>
  </r>
  <r>
    <x v="467"/>
    <x v="0"/>
    <x v="3"/>
    <n v="5"/>
    <n v="552.26"/>
    <x v="3"/>
    <x v="0"/>
    <x v="2"/>
    <x v="1"/>
    <n v="2347.105"/>
    <x v="3"/>
    <x v="2"/>
    <n v="0"/>
    <s v="REG101117"/>
    <s v="Cust 8800"/>
    <n v="26.5"/>
    <d v="2023-12-23T00:00:00"/>
    <d v="2023-12-25T00:00:00"/>
    <x v="0"/>
  </r>
  <r>
    <x v="652"/>
    <x v="3"/>
    <x v="2"/>
    <n v="1"/>
    <n v="182.11"/>
    <x v="1"/>
    <x v="1"/>
    <x v="1"/>
    <x v="3"/>
    <n v="163.899"/>
    <x v="2"/>
    <x v="2"/>
    <n v="0"/>
    <s v="REG101118"/>
    <s v="Cust 1819"/>
    <n v="7.31"/>
    <d v="2023-08-20T00:00:00"/>
    <d v="2023-08-27T00:00:00"/>
    <x v="3"/>
  </r>
  <r>
    <x v="653"/>
    <x v="4"/>
    <x v="2"/>
    <n v="7"/>
    <n v="466.36"/>
    <x v="3"/>
    <x v="0"/>
    <x v="3"/>
    <x v="5"/>
    <n v="3101.2939999999999"/>
    <x v="0"/>
    <x v="1"/>
    <n v="1"/>
    <s v="REG101119"/>
    <s v="Cust 1300"/>
    <n v="11.45"/>
    <d v="2024-10-28T00:00:00"/>
    <d v="2024-11-06T00:00:00"/>
    <x v="4"/>
  </r>
  <r>
    <x v="207"/>
    <x v="0"/>
    <x v="6"/>
    <n v="15"/>
    <n v="140.54"/>
    <x v="1"/>
    <x v="0"/>
    <x v="1"/>
    <x v="0"/>
    <n v="1897.29"/>
    <x v="2"/>
    <x v="1"/>
    <n v="0"/>
    <s v="REG101120"/>
    <s v="Cust 3807"/>
    <n v="49.91"/>
    <d v="2024-11-11T00:00:00"/>
    <d v="2024-11-21T00:00:00"/>
    <x v="0"/>
  </r>
  <r>
    <x v="654"/>
    <x v="4"/>
    <x v="2"/>
    <n v="17"/>
    <n v="460.31"/>
    <x v="1"/>
    <x v="1"/>
    <x v="2"/>
    <x v="4"/>
    <n v="6651.4795000000004"/>
    <x v="0"/>
    <x v="2"/>
    <n v="0"/>
    <s v="REG101121"/>
    <s v="Cust 6633"/>
    <n v="40.18"/>
    <d v="2023-12-07T00:00:00"/>
    <d v="2023-12-15T00:00:00"/>
    <x v="4"/>
  </r>
  <r>
    <x v="105"/>
    <x v="4"/>
    <x v="0"/>
    <n v="5"/>
    <n v="132.87"/>
    <x v="0"/>
    <x v="1"/>
    <x v="0"/>
    <x v="5"/>
    <n v="664.35"/>
    <x v="3"/>
    <x v="2"/>
    <n v="0"/>
    <s v="REG101122"/>
    <s v="Cust 6573"/>
    <n v="37.909999999999997"/>
    <d v="2024-03-23T00:00:00"/>
    <d v="2024-04-02T00:00:00"/>
    <x v="4"/>
  </r>
  <r>
    <x v="525"/>
    <x v="4"/>
    <x v="5"/>
    <n v="12"/>
    <n v="209.86"/>
    <x v="3"/>
    <x v="1"/>
    <x v="3"/>
    <x v="5"/>
    <n v="2392.404"/>
    <x v="0"/>
    <x v="2"/>
    <n v="0"/>
    <s v="REG101123"/>
    <s v="Cust 8600"/>
    <n v="8.7799999999999994"/>
    <d v="2024-10-29T00:00:00"/>
    <d v="2024-11-02T00:00:00"/>
    <x v="4"/>
  </r>
  <r>
    <x v="655"/>
    <x v="0"/>
    <x v="0"/>
    <n v="9"/>
    <n v="31.35"/>
    <x v="0"/>
    <x v="1"/>
    <x v="1"/>
    <x v="4"/>
    <n v="253.935"/>
    <x v="4"/>
    <x v="1"/>
    <n v="0"/>
    <s v="REG101124"/>
    <s v="Cust 8654"/>
    <n v="39.32"/>
    <d v="2025-06-17T00:00:00"/>
    <d v="2025-06-22T00:00:00"/>
    <x v="0"/>
  </r>
  <r>
    <x v="132"/>
    <x v="2"/>
    <x v="3"/>
    <n v="11"/>
    <n v="335.11"/>
    <x v="2"/>
    <x v="1"/>
    <x v="0"/>
    <x v="2"/>
    <n v="3686.21"/>
    <x v="1"/>
    <x v="0"/>
    <n v="0"/>
    <s v="REG101125"/>
    <s v="Cust 3708"/>
    <n v="29.95"/>
    <d v="2023-03-18T00:00:00"/>
    <d v="2023-03-26T00:00:00"/>
    <x v="2"/>
  </r>
  <r>
    <x v="656"/>
    <x v="0"/>
    <x v="1"/>
    <n v="8"/>
    <n v="277.43"/>
    <x v="3"/>
    <x v="0"/>
    <x v="0"/>
    <x v="3"/>
    <n v="2219.44"/>
    <x v="0"/>
    <x v="1"/>
    <n v="0"/>
    <s v="REG101126"/>
    <s v="Cust 1268"/>
    <n v="36.380000000000003"/>
    <d v="2023-01-19T00:00:00"/>
    <d v="2023-01-23T00:00:00"/>
    <x v="0"/>
  </r>
  <r>
    <x v="657"/>
    <x v="4"/>
    <x v="2"/>
    <n v="6"/>
    <n v="287.72000000000003"/>
    <x v="1"/>
    <x v="1"/>
    <x v="3"/>
    <x v="5"/>
    <n v="1640.0039999999999"/>
    <x v="3"/>
    <x v="2"/>
    <n v="0"/>
    <s v="REG101127"/>
    <s v="Cust 5600"/>
    <n v="17.14"/>
    <d v="2023-07-09T00:00:00"/>
    <d v="2023-07-14T00:00:00"/>
    <x v="4"/>
  </r>
  <r>
    <x v="527"/>
    <x v="0"/>
    <x v="0"/>
    <n v="14"/>
    <n v="459.61"/>
    <x v="0"/>
    <x v="1"/>
    <x v="3"/>
    <x v="2"/>
    <n v="6112.8130000000001"/>
    <x v="0"/>
    <x v="3"/>
    <n v="1"/>
    <s v="REG101128"/>
    <s v="Cust 2438"/>
    <n v="43.41"/>
    <d v="2025-03-16T00:00:00"/>
    <d v="2025-03-26T00:00:00"/>
    <x v="0"/>
  </r>
  <r>
    <x v="658"/>
    <x v="2"/>
    <x v="5"/>
    <n v="10"/>
    <n v="396.73"/>
    <x v="0"/>
    <x v="1"/>
    <x v="1"/>
    <x v="0"/>
    <n v="3570.57"/>
    <x v="0"/>
    <x v="0"/>
    <n v="0"/>
    <s v="REG101129"/>
    <s v="Cust 4293"/>
    <n v="18.13"/>
    <d v="2025-02-08T00:00:00"/>
    <d v="2025-02-13T00:00:00"/>
    <x v="2"/>
  </r>
  <r>
    <x v="528"/>
    <x v="1"/>
    <x v="6"/>
    <n v="20"/>
    <n v="516.42999999999995"/>
    <x v="0"/>
    <x v="1"/>
    <x v="0"/>
    <x v="5"/>
    <n v="10328.6"/>
    <x v="0"/>
    <x v="0"/>
    <n v="0"/>
    <s v="REG101130"/>
    <s v="Cust 6895"/>
    <n v="36.229999999999997"/>
    <d v="2024-04-20T00:00:00"/>
    <d v="2024-04-22T00:00:00"/>
    <x v="1"/>
  </r>
  <r>
    <x v="20"/>
    <x v="0"/>
    <x v="0"/>
    <n v="1"/>
    <n v="299.66000000000003"/>
    <x v="1"/>
    <x v="1"/>
    <x v="1"/>
    <x v="4"/>
    <n v="269.69400000000002"/>
    <x v="4"/>
    <x v="1"/>
    <n v="0"/>
    <s v="REG101131"/>
    <s v="Cust 2616"/>
    <n v="38.94"/>
    <d v="2025-06-05T00:00:00"/>
    <d v="2025-06-07T00:00:00"/>
    <x v="0"/>
  </r>
  <r>
    <x v="659"/>
    <x v="1"/>
    <x v="3"/>
    <n v="12"/>
    <n v="31.72"/>
    <x v="0"/>
    <x v="1"/>
    <x v="0"/>
    <x v="1"/>
    <n v="380.64"/>
    <x v="3"/>
    <x v="1"/>
    <n v="0"/>
    <s v="REG101132"/>
    <s v="Cust 5362"/>
    <n v="30.78"/>
    <d v="2025-04-25T00:00:00"/>
    <d v="2025-05-03T00:00:00"/>
    <x v="1"/>
  </r>
  <r>
    <x v="476"/>
    <x v="3"/>
    <x v="1"/>
    <n v="17"/>
    <n v="588.58000000000004"/>
    <x v="3"/>
    <x v="0"/>
    <x v="3"/>
    <x v="4"/>
    <n v="9505.5670000000009"/>
    <x v="3"/>
    <x v="1"/>
    <n v="1"/>
    <s v="REG101133"/>
    <s v="Cust 1670"/>
    <n v="25.31"/>
    <d v="2023-09-06T00:00:00"/>
    <d v="2023-09-13T00:00:00"/>
    <x v="3"/>
  </r>
  <r>
    <x v="100"/>
    <x v="0"/>
    <x v="0"/>
    <n v="11"/>
    <n v="203.15"/>
    <x v="2"/>
    <x v="1"/>
    <x v="1"/>
    <x v="0"/>
    <n v="2011.1849999999999"/>
    <x v="0"/>
    <x v="0"/>
    <n v="0"/>
    <s v="REG101134"/>
    <s v="Cust 2254"/>
    <n v="30.97"/>
    <d v="2023-09-29T00:00:00"/>
    <d v="2023-10-02T00:00:00"/>
    <x v="0"/>
  </r>
  <r>
    <x v="660"/>
    <x v="3"/>
    <x v="4"/>
    <n v="18"/>
    <n v="139.13999999999999"/>
    <x v="1"/>
    <x v="0"/>
    <x v="0"/>
    <x v="3"/>
    <n v="2504.52"/>
    <x v="0"/>
    <x v="0"/>
    <n v="1"/>
    <s v="REG101135"/>
    <s v="Cust 9521"/>
    <n v="10.56"/>
    <d v="2024-05-21T00:00:00"/>
    <d v="2024-05-23T00:00:00"/>
    <x v="3"/>
  </r>
  <r>
    <x v="91"/>
    <x v="4"/>
    <x v="4"/>
    <n v="2"/>
    <n v="158.99"/>
    <x v="1"/>
    <x v="0"/>
    <x v="0"/>
    <x v="5"/>
    <n v="317.98"/>
    <x v="0"/>
    <x v="3"/>
    <n v="0"/>
    <s v="REG101136"/>
    <s v="Cust 3921"/>
    <n v="48.32"/>
    <d v="2025-04-13T00:00:00"/>
    <d v="2025-04-19T00:00:00"/>
    <x v="4"/>
  </r>
  <r>
    <x v="85"/>
    <x v="0"/>
    <x v="3"/>
    <n v="3"/>
    <n v="387.63"/>
    <x v="1"/>
    <x v="0"/>
    <x v="0"/>
    <x v="4"/>
    <n v="1162.8900000000001"/>
    <x v="2"/>
    <x v="2"/>
    <n v="0"/>
    <s v="REG101137"/>
    <s v="Cust 7628"/>
    <n v="30.08"/>
    <d v="2024-11-16T00:00:00"/>
    <d v="2024-11-20T00:00:00"/>
    <x v="0"/>
  </r>
  <r>
    <x v="555"/>
    <x v="2"/>
    <x v="2"/>
    <n v="5"/>
    <n v="202.12"/>
    <x v="1"/>
    <x v="1"/>
    <x v="1"/>
    <x v="4"/>
    <n v="909.54000000000008"/>
    <x v="0"/>
    <x v="0"/>
    <n v="1"/>
    <s v="REG101138"/>
    <s v="Cust 2453"/>
    <n v="45.61"/>
    <d v="2024-07-20T00:00:00"/>
    <d v="2024-07-28T00:00:00"/>
    <x v="2"/>
  </r>
  <r>
    <x v="42"/>
    <x v="2"/>
    <x v="2"/>
    <n v="4"/>
    <n v="334.57"/>
    <x v="2"/>
    <x v="1"/>
    <x v="2"/>
    <x v="3"/>
    <n v="1137.538"/>
    <x v="1"/>
    <x v="3"/>
    <n v="0"/>
    <s v="REG101139"/>
    <s v="Cust 4210"/>
    <n v="11.49"/>
    <d v="2023-05-20T00:00:00"/>
    <d v="2023-05-27T00:00:00"/>
    <x v="2"/>
  </r>
  <r>
    <x v="661"/>
    <x v="4"/>
    <x v="1"/>
    <n v="16"/>
    <n v="486.71"/>
    <x v="0"/>
    <x v="0"/>
    <x v="2"/>
    <x v="3"/>
    <n v="6619.2559999999994"/>
    <x v="0"/>
    <x v="0"/>
    <n v="1"/>
    <s v="REG101140"/>
    <s v="Cust 1951"/>
    <n v="12.53"/>
    <d v="2023-10-22T00:00:00"/>
    <d v="2023-10-26T00:00:00"/>
    <x v="4"/>
  </r>
  <r>
    <x v="662"/>
    <x v="2"/>
    <x v="4"/>
    <n v="2"/>
    <n v="188.29"/>
    <x v="3"/>
    <x v="0"/>
    <x v="2"/>
    <x v="5"/>
    <n v="320.09300000000002"/>
    <x v="2"/>
    <x v="1"/>
    <n v="0"/>
    <s v="REG101141"/>
    <s v="Cust 9405"/>
    <n v="32.22"/>
    <d v="2025-05-18T00:00:00"/>
    <d v="2025-05-21T00:00:00"/>
    <x v="2"/>
  </r>
  <r>
    <x v="69"/>
    <x v="1"/>
    <x v="0"/>
    <n v="3"/>
    <n v="260.72000000000003"/>
    <x v="0"/>
    <x v="0"/>
    <x v="2"/>
    <x v="2"/>
    <n v="664.83600000000001"/>
    <x v="0"/>
    <x v="2"/>
    <n v="0"/>
    <s v="REG101142"/>
    <s v="Cust 8769"/>
    <n v="19.41"/>
    <d v="2024-03-03T00:00:00"/>
    <d v="2024-03-06T00:00:00"/>
    <x v="1"/>
  </r>
  <r>
    <x v="41"/>
    <x v="0"/>
    <x v="2"/>
    <n v="6"/>
    <n v="358.27"/>
    <x v="0"/>
    <x v="1"/>
    <x v="1"/>
    <x v="2"/>
    <n v="1934.6579999999999"/>
    <x v="1"/>
    <x v="3"/>
    <n v="0"/>
    <s v="REG101143"/>
    <s v="Cust 9982"/>
    <n v="7.34"/>
    <d v="2023-07-23T00:00:00"/>
    <d v="2023-08-02T00:00:00"/>
    <x v="0"/>
  </r>
  <r>
    <x v="663"/>
    <x v="2"/>
    <x v="2"/>
    <n v="13"/>
    <n v="492.66"/>
    <x v="0"/>
    <x v="1"/>
    <x v="1"/>
    <x v="2"/>
    <n v="5764.1220000000003"/>
    <x v="1"/>
    <x v="0"/>
    <n v="0"/>
    <s v="REG101144"/>
    <s v="Cust 4068"/>
    <n v="46.21"/>
    <d v="2025-02-09T00:00:00"/>
    <d v="2025-02-14T00:00:00"/>
    <x v="2"/>
  </r>
  <r>
    <x v="585"/>
    <x v="1"/>
    <x v="3"/>
    <n v="3"/>
    <n v="348.38"/>
    <x v="0"/>
    <x v="0"/>
    <x v="0"/>
    <x v="3"/>
    <n v="1045.1400000000001"/>
    <x v="1"/>
    <x v="0"/>
    <n v="0"/>
    <s v="REG101145"/>
    <s v="Cust 3523"/>
    <n v="26.25"/>
    <d v="2023-01-17T00:00:00"/>
    <d v="2023-01-23T00:00:00"/>
    <x v="1"/>
  </r>
  <r>
    <x v="121"/>
    <x v="2"/>
    <x v="1"/>
    <n v="6"/>
    <n v="437.59"/>
    <x v="3"/>
    <x v="0"/>
    <x v="3"/>
    <x v="4"/>
    <n v="2494.2629999999999"/>
    <x v="1"/>
    <x v="2"/>
    <n v="1"/>
    <s v="REG101146"/>
    <s v="Cust 3377"/>
    <n v="39.4"/>
    <d v="2023-09-17T00:00:00"/>
    <d v="2023-09-26T00:00:00"/>
    <x v="2"/>
  </r>
  <r>
    <x v="664"/>
    <x v="2"/>
    <x v="6"/>
    <n v="19"/>
    <n v="118.09"/>
    <x v="3"/>
    <x v="0"/>
    <x v="1"/>
    <x v="1"/>
    <n v="2019.3389999999999"/>
    <x v="0"/>
    <x v="1"/>
    <n v="0"/>
    <s v="REG101147"/>
    <s v="Cust 3125"/>
    <n v="10.77"/>
    <d v="2025-02-15T00:00:00"/>
    <d v="2025-02-23T00:00:00"/>
    <x v="2"/>
  </r>
  <r>
    <x v="444"/>
    <x v="4"/>
    <x v="5"/>
    <n v="15"/>
    <n v="188.57"/>
    <x v="2"/>
    <x v="0"/>
    <x v="3"/>
    <x v="5"/>
    <n v="2687.122499999999"/>
    <x v="2"/>
    <x v="0"/>
    <n v="1"/>
    <s v="REG101148"/>
    <s v="Cust 4623"/>
    <n v="38.61"/>
    <d v="2023-10-07T00:00:00"/>
    <d v="2023-10-09T00:00:00"/>
    <x v="4"/>
  </r>
  <r>
    <x v="665"/>
    <x v="4"/>
    <x v="1"/>
    <n v="8"/>
    <n v="200.74"/>
    <x v="1"/>
    <x v="0"/>
    <x v="0"/>
    <x v="4"/>
    <n v="1605.92"/>
    <x v="1"/>
    <x v="1"/>
    <n v="1"/>
    <s v="REG101149"/>
    <s v="Cust 4571"/>
    <n v="30.7"/>
    <d v="2023-08-08T00:00:00"/>
    <d v="2023-08-10T00:00:00"/>
    <x v="4"/>
  </r>
  <r>
    <x v="666"/>
    <x v="0"/>
    <x v="0"/>
    <n v="3"/>
    <n v="142.09"/>
    <x v="2"/>
    <x v="0"/>
    <x v="2"/>
    <x v="2"/>
    <n v="362.3295"/>
    <x v="1"/>
    <x v="2"/>
    <n v="0"/>
    <s v="REG101150"/>
    <s v="Cust 6453"/>
    <n v="26.04"/>
    <d v="2023-08-21T00:00:00"/>
    <d v="2023-08-27T00:00:00"/>
    <x v="0"/>
  </r>
  <r>
    <x v="99"/>
    <x v="2"/>
    <x v="5"/>
    <n v="15"/>
    <n v="576.12"/>
    <x v="3"/>
    <x v="1"/>
    <x v="1"/>
    <x v="1"/>
    <n v="7777.62"/>
    <x v="0"/>
    <x v="2"/>
    <n v="0"/>
    <s v="REG101151"/>
    <s v="Cust 6982"/>
    <n v="29.31"/>
    <d v="2024-07-07T00:00:00"/>
    <d v="2024-07-11T00:00:00"/>
    <x v="2"/>
  </r>
  <r>
    <x v="50"/>
    <x v="1"/>
    <x v="2"/>
    <n v="9"/>
    <n v="96.97"/>
    <x v="3"/>
    <x v="1"/>
    <x v="2"/>
    <x v="5"/>
    <n v="741.82050000000004"/>
    <x v="2"/>
    <x v="2"/>
    <n v="1"/>
    <s v="REG101152"/>
    <s v="Cust 6824"/>
    <n v="30.87"/>
    <d v="2025-01-17T00:00:00"/>
    <d v="2025-01-24T00:00:00"/>
    <x v="1"/>
  </r>
  <r>
    <x v="667"/>
    <x v="2"/>
    <x v="5"/>
    <n v="17"/>
    <n v="218.04"/>
    <x v="3"/>
    <x v="0"/>
    <x v="2"/>
    <x v="5"/>
    <n v="3150.6779999999999"/>
    <x v="4"/>
    <x v="3"/>
    <n v="0"/>
    <s v="REG101153"/>
    <s v="Cust 3172"/>
    <n v="16"/>
    <d v="2023-12-06T00:00:00"/>
    <d v="2023-12-16T00:00:00"/>
    <x v="2"/>
  </r>
  <r>
    <x v="565"/>
    <x v="1"/>
    <x v="2"/>
    <n v="2"/>
    <n v="153.33000000000001"/>
    <x v="2"/>
    <x v="0"/>
    <x v="3"/>
    <x v="3"/>
    <n v="291.327"/>
    <x v="4"/>
    <x v="3"/>
    <n v="0"/>
    <s v="REG101154"/>
    <s v="Cust 8146"/>
    <n v="31.55"/>
    <d v="2023-03-01T00:00:00"/>
    <d v="2023-03-04T00:00:00"/>
    <x v="1"/>
  </r>
  <r>
    <x v="668"/>
    <x v="2"/>
    <x v="6"/>
    <n v="8"/>
    <n v="316.12"/>
    <x v="0"/>
    <x v="0"/>
    <x v="1"/>
    <x v="4"/>
    <n v="2276.0639999999999"/>
    <x v="1"/>
    <x v="2"/>
    <n v="0"/>
    <s v="REG101155"/>
    <s v="Cust 3299"/>
    <n v="6.28"/>
    <d v="2025-02-11T00:00:00"/>
    <d v="2025-02-15T00:00:00"/>
    <x v="2"/>
  </r>
  <r>
    <x v="300"/>
    <x v="3"/>
    <x v="6"/>
    <n v="13"/>
    <n v="153.57"/>
    <x v="0"/>
    <x v="0"/>
    <x v="3"/>
    <x v="3"/>
    <n v="1896.5895"/>
    <x v="1"/>
    <x v="3"/>
    <n v="0"/>
    <s v="REG101156"/>
    <s v="Cust 6476"/>
    <n v="27.98"/>
    <d v="2023-06-20T00:00:00"/>
    <d v="2023-06-25T00:00:00"/>
    <x v="3"/>
  </r>
  <r>
    <x v="459"/>
    <x v="4"/>
    <x v="6"/>
    <n v="7"/>
    <n v="208.31"/>
    <x v="2"/>
    <x v="0"/>
    <x v="3"/>
    <x v="2"/>
    <n v="1385.2615000000001"/>
    <x v="0"/>
    <x v="1"/>
    <n v="0"/>
    <s v="REG101157"/>
    <s v="Cust 9835"/>
    <n v="26.57"/>
    <d v="2024-02-29T00:00:00"/>
    <d v="2024-03-03T00:00:00"/>
    <x v="4"/>
  </r>
  <r>
    <x v="148"/>
    <x v="2"/>
    <x v="3"/>
    <n v="2"/>
    <n v="160.96"/>
    <x v="2"/>
    <x v="0"/>
    <x v="1"/>
    <x v="0"/>
    <n v="289.72800000000001"/>
    <x v="1"/>
    <x v="2"/>
    <n v="0"/>
    <s v="REG101158"/>
    <s v="Cust 1003"/>
    <n v="44.97"/>
    <d v="2025-06-30T00:00:00"/>
    <d v="2025-07-05T00:00:00"/>
    <x v="2"/>
  </r>
  <r>
    <x v="363"/>
    <x v="2"/>
    <x v="4"/>
    <n v="3"/>
    <n v="373.77"/>
    <x v="0"/>
    <x v="1"/>
    <x v="1"/>
    <x v="0"/>
    <n v="1009.179"/>
    <x v="4"/>
    <x v="2"/>
    <n v="1"/>
    <s v="REG101159"/>
    <s v="Cust 9705"/>
    <n v="17.62"/>
    <d v="2024-08-19T00:00:00"/>
    <d v="2024-08-25T00:00:00"/>
    <x v="2"/>
  </r>
  <r>
    <x v="481"/>
    <x v="3"/>
    <x v="6"/>
    <n v="20"/>
    <n v="200.7"/>
    <x v="3"/>
    <x v="1"/>
    <x v="1"/>
    <x v="1"/>
    <n v="3612.6"/>
    <x v="0"/>
    <x v="0"/>
    <n v="0"/>
    <s v="REG101160"/>
    <s v="Cust 3421"/>
    <n v="29.6"/>
    <d v="2024-01-15T00:00:00"/>
    <d v="2024-01-19T00:00:00"/>
    <x v="3"/>
  </r>
  <r>
    <x v="669"/>
    <x v="3"/>
    <x v="2"/>
    <n v="14"/>
    <n v="115.77"/>
    <x v="0"/>
    <x v="0"/>
    <x v="2"/>
    <x v="2"/>
    <n v="1377.663"/>
    <x v="2"/>
    <x v="1"/>
    <n v="1"/>
    <s v="REG101161"/>
    <s v="Cust 1690"/>
    <n v="20.12"/>
    <d v="2024-08-08T00:00:00"/>
    <d v="2024-08-11T00:00:00"/>
    <x v="3"/>
  </r>
  <r>
    <x v="198"/>
    <x v="4"/>
    <x v="1"/>
    <n v="12"/>
    <n v="535.41"/>
    <x v="2"/>
    <x v="1"/>
    <x v="1"/>
    <x v="2"/>
    <n v="5782.4279999999999"/>
    <x v="1"/>
    <x v="3"/>
    <n v="0"/>
    <s v="REG101162"/>
    <s v="Cust 2507"/>
    <n v="27.82"/>
    <d v="2024-10-05T00:00:00"/>
    <d v="2024-10-07T00:00:00"/>
    <x v="4"/>
  </r>
  <r>
    <x v="576"/>
    <x v="1"/>
    <x v="2"/>
    <n v="12"/>
    <n v="103.59"/>
    <x v="1"/>
    <x v="1"/>
    <x v="1"/>
    <x v="2"/>
    <n v="1118.7719999999999"/>
    <x v="3"/>
    <x v="0"/>
    <n v="0"/>
    <s v="REG101163"/>
    <s v="Cust 9880"/>
    <n v="48.11"/>
    <d v="2024-01-13T00:00:00"/>
    <d v="2024-01-21T00:00:00"/>
    <x v="1"/>
  </r>
  <r>
    <x v="88"/>
    <x v="4"/>
    <x v="0"/>
    <n v="18"/>
    <n v="176.32"/>
    <x v="0"/>
    <x v="0"/>
    <x v="3"/>
    <x v="4"/>
    <n v="3015.0720000000001"/>
    <x v="3"/>
    <x v="3"/>
    <n v="0"/>
    <s v="REG101164"/>
    <s v="Cust 3972"/>
    <n v="36.35"/>
    <d v="2023-03-29T00:00:00"/>
    <d v="2023-04-04T00:00:00"/>
    <x v="4"/>
  </r>
  <r>
    <x v="544"/>
    <x v="2"/>
    <x v="6"/>
    <n v="5"/>
    <n v="112.44"/>
    <x v="3"/>
    <x v="1"/>
    <x v="1"/>
    <x v="5"/>
    <n v="505.98000000000008"/>
    <x v="2"/>
    <x v="3"/>
    <n v="1"/>
    <s v="REG101165"/>
    <s v="Cust 8280"/>
    <n v="7.46"/>
    <d v="2023-10-19T00:00:00"/>
    <d v="2023-10-23T00:00:00"/>
    <x v="2"/>
  </r>
  <r>
    <x v="25"/>
    <x v="4"/>
    <x v="3"/>
    <n v="20"/>
    <n v="19.3"/>
    <x v="2"/>
    <x v="0"/>
    <x v="0"/>
    <x v="5"/>
    <n v="386"/>
    <x v="3"/>
    <x v="1"/>
    <n v="0"/>
    <s v="REG101166"/>
    <s v="Cust 4205"/>
    <n v="47.23"/>
    <d v="2023-10-23T00:00:00"/>
    <d v="2023-11-01T00:00:00"/>
    <x v="4"/>
  </r>
  <r>
    <x v="601"/>
    <x v="1"/>
    <x v="1"/>
    <n v="9"/>
    <n v="233.11"/>
    <x v="0"/>
    <x v="1"/>
    <x v="3"/>
    <x v="0"/>
    <n v="1993.0905"/>
    <x v="3"/>
    <x v="2"/>
    <n v="0"/>
    <s v="REG101167"/>
    <s v="Cust 2579"/>
    <n v="31.43"/>
    <d v="2023-03-24T00:00:00"/>
    <d v="2023-03-28T00:00:00"/>
    <x v="1"/>
  </r>
  <r>
    <x v="649"/>
    <x v="4"/>
    <x v="6"/>
    <n v="17"/>
    <n v="66.48"/>
    <x v="2"/>
    <x v="0"/>
    <x v="2"/>
    <x v="0"/>
    <n v="960.63600000000008"/>
    <x v="1"/>
    <x v="2"/>
    <n v="1"/>
    <s v="REG101168"/>
    <s v="Cust 7265"/>
    <n v="10.79"/>
    <d v="2024-08-09T00:00:00"/>
    <d v="2024-08-14T00:00:00"/>
    <x v="4"/>
  </r>
  <r>
    <x v="394"/>
    <x v="1"/>
    <x v="0"/>
    <n v="17"/>
    <n v="504.63"/>
    <x v="1"/>
    <x v="0"/>
    <x v="1"/>
    <x v="3"/>
    <n v="7720.838999999999"/>
    <x v="0"/>
    <x v="2"/>
    <n v="1"/>
    <s v="REG101169"/>
    <s v="Cust 1199"/>
    <n v="48.33"/>
    <d v="2023-04-26T00:00:00"/>
    <d v="2023-05-06T00:00:00"/>
    <x v="1"/>
  </r>
  <r>
    <x v="615"/>
    <x v="4"/>
    <x v="5"/>
    <n v="11"/>
    <n v="97.84"/>
    <x v="0"/>
    <x v="1"/>
    <x v="3"/>
    <x v="1"/>
    <n v="1022.428"/>
    <x v="3"/>
    <x v="1"/>
    <n v="1"/>
    <s v="REG101170"/>
    <s v="Cust 2928"/>
    <n v="45.97"/>
    <d v="2024-03-04T00:00:00"/>
    <d v="2024-03-12T00:00:00"/>
    <x v="4"/>
  </r>
  <r>
    <x v="169"/>
    <x v="0"/>
    <x v="5"/>
    <n v="7"/>
    <n v="468.14"/>
    <x v="1"/>
    <x v="1"/>
    <x v="2"/>
    <x v="5"/>
    <n v="2785.433"/>
    <x v="4"/>
    <x v="1"/>
    <n v="0"/>
    <s v="REG101171"/>
    <s v="Cust 9447"/>
    <n v="47.56"/>
    <d v="2023-02-14T00:00:00"/>
    <d v="2023-02-17T00:00:00"/>
    <x v="0"/>
  </r>
  <r>
    <x v="266"/>
    <x v="4"/>
    <x v="5"/>
    <n v="20"/>
    <n v="476.69"/>
    <x v="0"/>
    <x v="0"/>
    <x v="3"/>
    <x v="5"/>
    <n v="9057.1099999999988"/>
    <x v="0"/>
    <x v="2"/>
    <n v="0"/>
    <s v="REG101172"/>
    <s v="Cust 9095"/>
    <n v="10.199999999999999"/>
    <d v="2023-04-28T00:00:00"/>
    <d v="2023-05-03T00:00:00"/>
    <x v="4"/>
  </r>
  <r>
    <x v="69"/>
    <x v="2"/>
    <x v="1"/>
    <n v="2"/>
    <n v="160.72999999999999"/>
    <x v="1"/>
    <x v="0"/>
    <x v="2"/>
    <x v="2"/>
    <n v="273.24099999999999"/>
    <x v="4"/>
    <x v="0"/>
    <n v="0"/>
    <s v="REG101173"/>
    <s v="Cust 7587"/>
    <n v="20.18"/>
    <d v="2024-03-03T00:00:00"/>
    <d v="2024-03-11T00:00:00"/>
    <x v="2"/>
  </r>
  <r>
    <x v="670"/>
    <x v="4"/>
    <x v="5"/>
    <n v="9"/>
    <n v="228.98"/>
    <x v="3"/>
    <x v="1"/>
    <x v="2"/>
    <x v="2"/>
    <n v="1751.6969999999999"/>
    <x v="0"/>
    <x v="2"/>
    <n v="0"/>
    <s v="REG101174"/>
    <s v="Cust 2611"/>
    <n v="45.79"/>
    <d v="2024-09-04T00:00:00"/>
    <d v="2024-09-08T00:00:00"/>
    <x v="4"/>
  </r>
  <r>
    <x v="671"/>
    <x v="0"/>
    <x v="5"/>
    <n v="19"/>
    <n v="336.5"/>
    <x v="0"/>
    <x v="0"/>
    <x v="0"/>
    <x v="1"/>
    <n v="6393.5"/>
    <x v="0"/>
    <x v="2"/>
    <n v="0"/>
    <s v="REG101175"/>
    <s v="Cust 8284"/>
    <n v="27.43"/>
    <d v="2024-12-30T00:00:00"/>
    <d v="2025-01-07T00:00:00"/>
    <x v="0"/>
  </r>
  <r>
    <x v="672"/>
    <x v="0"/>
    <x v="6"/>
    <n v="18"/>
    <n v="411.59"/>
    <x v="1"/>
    <x v="0"/>
    <x v="0"/>
    <x v="5"/>
    <n v="7408.62"/>
    <x v="2"/>
    <x v="2"/>
    <n v="0"/>
    <s v="REG101176"/>
    <s v="Cust 8154"/>
    <n v="9.6199999999999992"/>
    <d v="2024-02-10T00:00:00"/>
    <d v="2024-02-16T00:00:00"/>
    <x v="0"/>
  </r>
  <r>
    <x v="288"/>
    <x v="3"/>
    <x v="6"/>
    <n v="1"/>
    <n v="431.49"/>
    <x v="2"/>
    <x v="0"/>
    <x v="2"/>
    <x v="1"/>
    <n v="366.76650000000001"/>
    <x v="4"/>
    <x v="1"/>
    <n v="0"/>
    <s v="REG101177"/>
    <s v="Cust 5215"/>
    <n v="17.53"/>
    <d v="2023-09-07T00:00:00"/>
    <d v="2023-09-15T00:00:00"/>
    <x v="3"/>
  </r>
  <r>
    <x v="673"/>
    <x v="0"/>
    <x v="0"/>
    <n v="18"/>
    <n v="495.39"/>
    <x v="1"/>
    <x v="0"/>
    <x v="0"/>
    <x v="3"/>
    <n v="8917.02"/>
    <x v="1"/>
    <x v="1"/>
    <n v="0"/>
    <s v="REG101178"/>
    <s v="Cust 5309"/>
    <n v="14.88"/>
    <d v="2023-08-11T00:00:00"/>
    <d v="2023-08-15T00:00:00"/>
    <x v="0"/>
  </r>
  <r>
    <x v="504"/>
    <x v="4"/>
    <x v="1"/>
    <n v="4"/>
    <n v="149.30000000000001"/>
    <x v="1"/>
    <x v="0"/>
    <x v="1"/>
    <x v="4"/>
    <n v="537.48"/>
    <x v="3"/>
    <x v="0"/>
    <n v="0"/>
    <s v="REG101179"/>
    <s v="Cust 2016"/>
    <n v="47.84"/>
    <d v="2023-03-12T00:00:00"/>
    <d v="2023-03-16T00:00:00"/>
    <x v="4"/>
  </r>
  <r>
    <x v="88"/>
    <x v="3"/>
    <x v="2"/>
    <n v="18"/>
    <n v="179.97"/>
    <x v="2"/>
    <x v="0"/>
    <x v="1"/>
    <x v="0"/>
    <n v="2915.5140000000001"/>
    <x v="4"/>
    <x v="1"/>
    <n v="0"/>
    <s v="REG101180"/>
    <s v="Cust 2676"/>
    <n v="22.15"/>
    <d v="2023-03-29T00:00:00"/>
    <d v="2023-03-31T00:00:00"/>
    <x v="3"/>
  </r>
  <r>
    <x v="130"/>
    <x v="1"/>
    <x v="3"/>
    <n v="11"/>
    <n v="381.14"/>
    <x v="0"/>
    <x v="1"/>
    <x v="3"/>
    <x v="2"/>
    <n v="3982.913"/>
    <x v="1"/>
    <x v="0"/>
    <n v="0"/>
    <s v="REG101181"/>
    <s v="Cust 7529"/>
    <n v="32.83"/>
    <d v="2025-02-17T00:00:00"/>
    <d v="2025-02-27T00:00:00"/>
    <x v="1"/>
  </r>
  <r>
    <x v="674"/>
    <x v="2"/>
    <x v="3"/>
    <n v="5"/>
    <n v="454.62"/>
    <x v="2"/>
    <x v="0"/>
    <x v="3"/>
    <x v="4"/>
    <n v="2159.4450000000002"/>
    <x v="1"/>
    <x v="3"/>
    <n v="0"/>
    <s v="REG101182"/>
    <s v="Cust 6172"/>
    <n v="10.19"/>
    <d v="2024-01-07T00:00:00"/>
    <d v="2024-01-15T00:00:00"/>
    <x v="2"/>
  </r>
  <r>
    <x v="675"/>
    <x v="0"/>
    <x v="1"/>
    <n v="17"/>
    <n v="226.56"/>
    <x v="1"/>
    <x v="0"/>
    <x v="1"/>
    <x v="4"/>
    <n v="3466.3679999999999"/>
    <x v="1"/>
    <x v="2"/>
    <n v="1"/>
    <s v="REG101183"/>
    <s v="Cust 2527"/>
    <n v="36.89"/>
    <d v="2023-01-14T00:00:00"/>
    <d v="2023-01-20T00:00:00"/>
    <x v="0"/>
  </r>
  <r>
    <x v="150"/>
    <x v="4"/>
    <x v="0"/>
    <n v="2"/>
    <n v="132.91"/>
    <x v="1"/>
    <x v="0"/>
    <x v="0"/>
    <x v="5"/>
    <n v="265.82"/>
    <x v="3"/>
    <x v="2"/>
    <n v="0"/>
    <s v="REG101184"/>
    <s v="Cust 1970"/>
    <n v="7.76"/>
    <d v="2024-01-03T00:00:00"/>
    <d v="2024-01-12T00:00:00"/>
    <x v="4"/>
  </r>
  <r>
    <x v="294"/>
    <x v="1"/>
    <x v="2"/>
    <n v="2"/>
    <n v="35.69"/>
    <x v="2"/>
    <x v="1"/>
    <x v="0"/>
    <x v="0"/>
    <n v="71.38"/>
    <x v="3"/>
    <x v="0"/>
    <n v="0"/>
    <s v="REG101185"/>
    <s v="Cust 9543"/>
    <n v="39.89"/>
    <d v="2023-08-25T00:00:00"/>
    <d v="2023-08-28T00:00:00"/>
    <x v="1"/>
  </r>
  <r>
    <x v="120"/>
    <x v="2"/>
    <x v="2"/>
    <n v="6"/>
    <n v="451.93"/>
    <x v="1"/>
    <x v="0"/>
    <x v="2"/>
    <x v="0"/>
    <n v="2304.8429999999998"/>
    <x v="4"/>
    <x v="2"/>
    <n v="1"/>
    <s v="REG101186"/>
    <s v="Cust 2957"/>
    <n v="49.37"/>
    <d v="2025-05-16T00:00:00"/>
    <d v="2025-05-25T00:00:00"/>
    <x v="2"/>
  </r>
  <r>
    <x v="479"/>
    <x v="1"/>
    <x v="0"/>
    <n v="7"/>
    <n v="270.47000000000003"/>
    <x v="3"/>
    <x v="0"/>
    <x v="3"/>
    <x v="4"/>
    <n v="1798.6255000000001"/>
    <x v="2"/>
    <x v="2"/>
    <n v="1"/>
    <s v="REG101187"/>
    <s v="Cust 2852"/>
    <n v="41.56"/>
    <d v="2023-12-30T00:00:00"/>
    <d v="2024-01-03T00:00:00"/>
    <x v="1"/>
  </r>
  <r>
    <x v="676"/>
    <x v="1"/>
    <x v="1"/>
    <n v="13"/>
    <n v="55.46"/>
    <x v="1"/>
    <x v="1"/>
    <x v="3"/>
    <x v="5"/>
    <n v="684.93100000000004"/>
    <x v="2"/>
    <x v="0"/>
    <n v="1"/>
    <s v="REG101188"/>
    <s v="Cust 6365"/>
    <n v="18.010000000000002"/>
    <d v="2024-10-06T00:00:00"/>
    <d v="2024-10-09T00:00:00"/>
    <x v="1"/>
  </r>
  <r>
    <x v="504"/>
    <x v="3"/>
    <x v="5"/>
    <n v="17"/>
    <n v="515.12"/>
    <x v="3"/>
    <x v="0"/>
    <x v="2"/>
    <x v="5"/>
    <n v="7443.4840000000004"/>
    <x v="2"/>
    <x v="1"/>
    <n v="1"/>
    <s v="REG101189"/>
    <s v="Cust 9159"/>
    <n v="32.74"/>
    <d v="2023-03-12T00:00:00"/>
    <d v="2023-03-22T00:00:00"/>
    <x v="3"/>
  </r>
  <r>
    <x v="419"/>
    <x v="2"/>
    <x v="1"/>
    <n v="1"/>
    <n v="256.63"/>
    <x v="3"/>
    <x v="0"/>
    <x v="0"/>
    <x v="3"/>
    <n v="256.63"/>
    <x v="1"/>
    <x v="0"/>
    <n v="0"/>
    <s v="REG101190"/>
    <s v="Cust 3252"/>
    <n v="12.97"/>
    <d v="2024-04-06T00:00:00"/>
    <d v="2024-04-08T00:00:00"/>
    <x v="2"/>
  </r>
  <r>
    <x v="411"/>
    <x v="2"/>
    <x v="5"/>
    <n v="4"/>
    <n v="423.99"/>
    <x v="0"/>
    <x v="1"/>
    <x v="3"/>
    <x v="2"/>
    <n v="1611.162"/>
    <x v="0"/>
    <x v="0"/>
    <n v="0"/>
    <s v="REG101191"/>
    <s v="Cust 8679"/>
    <n v="20.05"/>
    <d v="2023-01-20T00:00:00"/>
    <d v="2023-01-25T00:00:00"/>
    <x v="2"/>
  </r>
  <r>
    <x v="172"/>
    <x v="4"/>
    <x v="0"/>
    <n v="15"/>
    <n v="77.89"/>
    <x v="0"/>
    <x v="0"/>
    <x v="3"/>
    <x v="4"/>
    <n v="1109.9324999999999"/>
    <x v="2"/>
    <x v="3"/>
    <n v="0"/>
    <s v="REG101192"/>
    <s v="Cust 5547"/>
    <n v="20.87"/>
    <d v="2024-07-08T00:00:00"/>
    <d v="2024-07-12T00:00:00"/>
    <x v="4"/>
  </r>
  <r>
    <x v="677"/>
    <x v="2"/>
    <x v="1"/>
    <n v="12"/>
    <n v="11.95"/>
    <x v="1"/>
    <x v="1"/>
    <x v="3"/>
    <x v="3"/>
    <n v="136.22999999999999"/>
    <x v="0"/>
    <x v="3"/>
    <n v="0"/>
    <s v="REG101193"/>
    <s v="Cust 9438"/>
    <n v="26.66"/>
    <d v="2023-10-06T00:00:00"/>
    <d v="2023-10-16T00:00:00"/>
    <x v="2"/>
  </r>
  <r>
    <x v="471"/>
    <x v="0"/>
    <x v="2"/>
    <n v="7"/>
    <n v="67.05"/>
    <x v="3"/>
    <x v="0"/>
    <x v="1"/>
    <x v="3"/>
    <n v="422.41500000000002"/>
    <x v="4"/>
    <x v="0"/>
    <n v="0"/>
    <s v="REG101194"/>
    <s v="Cust 9092"/>
    <n v="36.67"/>
    <d v="2023-09-11T00:00:00"/>
    <d v="2023-09-18T00:00:00"/>
    <x v="0"/>
  </r>
  <r>
    <x v="242"/>
    <x v="2"/>
    <x v="1"/>
    <n v="19"/>
    <n v="118.15"/>
    <x v="2"/>
    <x v="1"/>
    <x v="2"/>
    <x v="2"/>
    <n v="1908.1224999999999"/>
    <x v="4"/>
    <x v="1"/>
    <n v="0"/>
    <s v="REG101195"/>
    <s v="Cust 7007"/>
    <n v="12.95"/>
    <d v="2023-09-14T00:00:00"/>
    <d v="2023-09-19T00:00:00"/>
    <x v="2"/>
  </r>
  <r>
    <x v="265"/>
    <x v="2"/>
    <x v="6"/>
    <n v="16"/>
    <n v="114.47"/>
    <x v="0"/>
    <x v="0"/>
    <x v="2"/>
    <x v="3"/>
    <n v="1556.7919999999999"/>
    <x v="0"/>
    <x v="3"/>
    <n v="0"/>
    <s v="REG101196"/>
    <s v="Cust 3001"/>
    <n v="43.85"/>
    <d v="2023-11-06T00:00:00"/>
    <d v="2023-11-11T00:00:00"/>
    <x v="2"/>
  </r>
  <r>
    <x v="678"/>
    <x v="2"/>
    <x v="4"/>
    <n v="9"/>
    <n v="36.21"/>
    <x v="2"/>
    <x v="0"/>
    <x v="2"/>
    <x v="5"/>
    <n v="277.00650000000002"/>
    <x v="2"/>
    <x v="0"/>
    <n v="0"/>
    <s v="REG101197"/>
    <s v="Cust 5771"/>
    <n v="6.71"/>
    <d v="2024-06-23T00:00:00"/>
    <d v="2024-06-30T00:00:00"/>
    <x v="2"/>
  </r>
  <r>
    <x v="306"/>
    <x v="4"/>
    <x v="6"/>
    <n v="10"/>
    <n v="52.58"/>
    <x v="0"/>
    <x v="0"/>
    <x v="1"/>
    <x v="0"/>
    <n v="473.22"/>
    <x v="4"/>
    <x v="2"/>
    <n v="0"/>
    <s v="REG101198"/>
    <s v="Cust 4317"/>
    <n v="14.01"/>
    <d v="2023-03-30T00:00:00"/>
    <d v="2023-04-09T00:00:00"/>
    <x v="4"/>
  </r>
  <r>
    <x v="198"/>
    <x v="0"/>
    <x v="1"/>
    <n v="6"/>
    <n v="272.26"/>
    <x v="1"/>
    <x v="1"/>
    <x v="1"/>
    <x v="3"/>
    <n v="1470.204"/>
    <x v="3"/>
    <x v="1"/>
    <n v="0"/>
    <s v="REG101199"/>
    <s v="Cust 3627"/>
    <n v="43.67"/>
    <d v="2024-10-05T00:00:00"/>
    <d v="2024-10-15T00:00:00"/>
    <x v="0"/>
  </r>
  <r>
    <x v="127"/>
    <x v="3"/>
    <x v="3"/>
    <n v="10"/>
    <n v="124.97"/>
    <x v="3"/>
    <x v="1"/>
    <x v="2"/>
    <x v="0"/>
    <n v="1062.2449999999999"/>
    <x v="1"/>
    <x v="2"/>
    <n v="1"/>
    <s v="REG101200"/>
    <s v="Cust 4433"/>
    <n v="40.229999999999997"/>
    <d v="2023-03-19T00:00:00"/>
    <d v="2023-03-29T00:00:00"/>
    <x v="3"/>
  </r>
  <r>
    <x v="253"/>
    <x v="2"/>
    <x v="1"/>
    <n v="9"/>
    <n v="228.62"/>
    <x v="2"/>
    <x v="1"/>
    <x v="3"/>
    <x v="0"/>
    <n v="1954.701"/>
    <x v="1"/>
    <x v="1"/>
    <n v="0"/>
    <s v="REG101201"/>
    <s v="Cust 6231"/>
    <n v="31.43"/>
    <d v="2025-03-17T00:00:00"/>
    <d v="2025-03-21T00:00:00"/>
    <x v="2"/>
  </r>
  <r>
    <x v="227"/>
    <x v="3"/>
    <x v="0"/>
    <n v="20"/>
    <n v="282.91000000000003"/>
    <x v="1"/>
    <x v="0"/>
    <x v="2"/>
    <x v="2"/>
    <n v="4809.47"/>
    <x v="3"/>
    <x v="0"/>
    <n v="0"/>
    <s v="REG101202"/>
    <s v="Cust 8987"/>
    <n v="8.19"/>
    <d v="2024-12-18T00:00:00"/>
    <d v="2024-12-28T00:00:00"/>
    <x v="3"/>
  </r>
  <r>
    <x v="428"/>
    <x v="4"/>
    <x v="5"/>
    <n v="17"/>
    <n v="129.62"/>
    <x v="3"/>
    <x v="1"/>
    <x v="2"/>
    <x v="0"/>
    <n v="1873.009"/>
    <x v="0"/>
    <x v="0"/>
    <n v="0"/>
    <s v="REG101203"/>
    <s v="Cust 4510"/>
    <n v="24.28"/>
    <d v="2025-01-06T00:00:00"/>
    <d v="2025-01-08T00:00:00"/>
    <x v="4"/>
  </r>
  <r>
    <x v="679"/>
    <x v="3"/>
    <x v="4"/>
    <n v="6"/>
    <n v="162.35"/>
    <x v="0"/>
    <x v="0"/>
    <x v="3"/>
    <x v="0"/>
    <n v="925.39499999999987"/>
    <x v="2"/>
    <x v="1"/>
    <n v="1"/>
    <s v="REG101204"/>
    <s v="Cust 7003"/>
    <n v="19.18"/>
    <d v="2025-01-14T00:00:00"/>
    <d v="2025-01-20T00:00:00"/>
    <x v="3"/>
  </r>
  <r>
    <x v="592"/>
    <x v="1"/>
    <x v="6"/>
    <n v="14"/>
    <n v="209.82"/>
    <x v="0"/>
    <x v="0"/>
    <x v="0"/>
    <x v="0"/>
    <n v="2937.48"/>
    <x v="4"/>
    <x v="1"/>
    <n v="0"/>
    <s v="REG101205"/>
    <s v="Cust 6546"/>
    <n v="36.11"/>
    <d v="2023-01-26T00:00:00"/>
    <d v="2023-01-30T00:00:00"/>
    <x v="1"/>
  </r>
  <r>
    <x v="270"/>
    <x v="2"/>
    <x v="0"/>
    <n v="16"/>
    <n v="293.44"/>
    <x v="3"/>
    <x v="0"/>
    <x v="3"/>
    <x v="4"/>
    <n v="4460.2879999999996"/>
    <x v="1"/>
    <x v="1"/>
    <n v="0"/>
    <s v="REG101206"/>
    <s v="Cust 2951"/>
    <n v="42.56"/>
    <d v="2024-08-04T00:00:00"/>
    <d v="2024-08-14T00:00:00"/>
    <x v="2"/>
  </r>
  <r>
    <x v="30"/>
    <x v="2"/>
    <x v="1"/>
    <n v="11"/>
    <n v="185.52"/>
    <x v="3"/>
    <x v="0"/>
    <x v="2"/>
    <x v="4"/>
    <n v="1734.6120000000001"/>
    <x v="2"/>
    <x v="2"/>
    <n v="0"/>
    <s v="REG101207"/>
    <s v="Cust 4673"/>
    <n v="38.53"/>
    <d v="2024-02-13T00:00:00"/>
    <d v="2024-02-16T00:00:00"/>
    <x v="2"/>
  </r>
  <r>
    <x v="70"/>
    <x v="3"/>
    <x v="2"/>
    <n v="18"/>
    <n v="268.38"/>
    <x v="3"/>
    <x v="0"/>
    <x v="2"/>
    <x v="1"/>
    <n v="4106.2139999999999"/>
    <x v="4"/>
    <x v="0"/>
    <n v="0"/>
    <s v="REG101208"/>
    <s v="Cust 5988"/>
    <n v="48.38"/>
    <d v="2023-02-11T00:00:00"/>
    <d v="2023-02-14T00:00:00"/>
    <x v="3"/>
  </r>
  <r>
    <x v="545"/>
    <x v="0"/>
    <x v="6"/>
    <n v="18"/>
    <n v="547.04999999999995"/>
    <x v="2"/>
    <x v="0"/>
    <x v="1"/>
    <x v="3"/>
    <n v="8862.2099999999991"/>
    <x v="4"/>
    <x v="0"/>
    <n v="0"/>
    <s v="REG101209"/>
    <s v="Cust 3922"/>
    <n v="10.99"/>
    <d v="2024-06-17T00:00:00"/>
    <d v="2024-06-22T00:00:00"/>
    <x v="0"/>
  </r>
  <r>
    <x v="566"/>
    <x v="1"/>
    <x v="0"/>
    <n v="1"/>
    <n v="354.21"/>
    <x v="1"/>
    <x v="0"/>
    <x v="2"/>
    <x v="3"/>
    <n v="301.07850000000002"/>
    <x v="0"/>
    <x v="3"/>
    <n v="0"/>
    <s v="REG101210"/>
    <s v="Cust 9853"/>
    <n v="26.16"/>
    <d v="2024-06-06T00:00:00"/>
    <d v="2024-06-12T00:00:00"/>
    <x v="1"/>
  </r>
  <r>
    <x v="168"/>
    <x v="1"/>
    <x v="3"/>
    <n v="18"/>
    <n v="250.93"/>
    <x v="2"/>
    <x v="0"/>
    <x v="3"/>
    <x v="5"/>
    <n v="4290.9029999999993"/>
    <x v="1"/>
    <x v="3"/>
    <n v="0"/>
    <s v="REG101211"/>
    <s v="Cust 6168"/>
    <n v="47.67"/>
    <d v="2023-11-26T00:00:00"/>
    <d v="2023-12-02T00:00:00"/>
    <x v="1"/>
  </r>
  <r>
    <x v="680"/>
    <x v="4"/>
    <x v="6"/>
    <n v="18"/>
    <n v="587.25"/>
    <x v="2"/>
    <x v="0"/>
    <x v="2"/>
    <x v="3"/>
    <n v="8984.9249999999993"/>
    <x v="0"/>
    <x v="3"/>
    <n v="0"/>
    <s v="REG101212"/>
    <s v="Cust 3175"/>
    <n v="42.15"/>
    <d v="2024-04-07T00:00:00"/>
    <d v="2024-04-09T00:00:00"/>
    <x v="4"/>
  </r>
  <r>
    <x v="151"/>
    <x v="4"/>
    <x v="2"/>
    <n v="2"/>
    <n v="438.06"/>
    <x v="0"/>
    <x v="1"/>
    <x v="0"/>
    <x v="2"/>
    <n v="876.12"/>
    <x v="0"/>
    <x v="0"/>
    <n v="1"/>
    <s v="REG101213"/>
    <s v="Cust 1813"/>
    <n v="12.9"/>
    <d v="2023-02-03T00:00:00"/>
    <d v="2023-02-09T00:00:00"/>
    <x v="4"/>
  </r>
  <r>
    <x v="681"/>
    <x v="0"/>
    <x v="3"/>
    <n v="14"/>
    <n v="6.1"/>
    <x v="2"/>
    <x v="0"/>
    <x v="2"/>
    <x v="3"/>
    <n v="72.589999999999989"/>
    <x v="0"/>
    <x v="0"/>
    <n v="1"/>
    <s v="REG101214"/>
    <s v="Cust 7749"/>
    <n v="10.18"/>
    <d v="2024-11-25T00:00:00"/>
    <d v="2024-11-30T00:00:00"/>
    <x v="0"/>
  </r>
  <r>
    <x v="261"/>
    <x v="2"/>
    <x v="0"/>
    <n v="2"/>
    <n v="80.14"/>
    <x v="3"/>
    <x v="0"/>
    <x v="0"/>
    <x v="3"/>
    <n v="160.28"/>
    <x v="0"/>
    <x v="0"/>
    <n v="1"/>
    <s v="REG101215"/>
    <s v="Cust 3416"/>
    <n v="13.41"/>
    <d v="2024-06-30T00:00:00"/>
    <d v="2024-07-03T00:00:00"/>
    <x v="2"/>
  </r>
  <r>
    <x v="562"/>
    <x v="1"/>
    <x v="0"/>
    <n v="11"/>
    <n v="66.97"/>
    <x v="1"/>
    <x v="1"/>
    <x v="2"/>
    <x v="5"/>
    <n v="626.16949999999997"/>
    <x v="1"/>
    <x v="0"/>
    <n v="1"/>
    <s v="REG101216"/>
    <s v="Cust 7066"/>
    <n v="20.350000000000001"/>
    <d v="2023-08-02T00:00:00"/>
    <d v="2023-08-11T00:00:00"/>
    <x v="1"/>
  </r>
  <r>
    <x v="193"/>
    <x v="1"/>
    <x v="3"/>
    <n v="6"/>
    <n v="181.34"/>
    <x v="1"/>
    <x v="0"/>
    <x v="0"/>
    <x v="1"/>
    <n v="1088.04"/>
    <x v="4"/>
    <x v="0"/>
    <n v="0"/>
    <s v="REG101217"/>
    <s v="Cust 5180"/>
    <n v="27.65"/>
    <d v="2024-02-22T00:00:00"/>
    <d v="2024-02-27T00:00:00"/>
    <x v="1"/>
  </r>
  <r>
    <x v="682"/>
    <x v="2"/>
    <x v="4"/>
    <n v="15"/>
    <n v="570"/>
    <x v="3"/>
    <x v="0"/>
    <x v="3"/>
    <x v="2"/>
    <n v="8122.5"/>
    <x v="1"/>
    <x v="3"/>
    <n v="0"/>
    <s v="REG101218"/>
    <s v="Cust 6246"/>
    <n v="7.62"/>
    <d v="2024-11-29T00:00:00"/>
    <d v="2024-12-09T00:00:00"/>
    <x v="2"/>
  </r>
  <r>
    <x v="12"/>
    <x v="2"/>
    <x v="4"/>
    <n v="9"/>
    <n v="587.79"/>
    <x v="3"/>
    <x v="0"/>
    <x v="2"/>
    <x v="5"/>
    <n v="4496.5934999999999"/>
    <x v="0"/>
    <x v="3"/>
    <n v="0"/>
    <s v="REG101219"/>
    <s v="Cust 4182"/>
    <n v="24.64"/>
    <d v="2023-07-21T00:00:00"/>
    <d v="2023-07-31T00:00:00"/>
    <x v="2"/>
  </r>
  <r>
    <x v="271"/>
    <x v="3"/>
    <x v="1"/>
    <n v="6"/>
    <n v="196.31"/>
    <x v="2"/>
    <x v="1"/>
    <x v="1"/>
    <x v="3"/>
    <n v="1060.0740000000001"/>
    <x v="0"/>
    <x v="2"/>
    <n v="0"/>
    <s v="REG101220"/>
    <s v="Cust 6843"/>
    <n v="38.65"/>
    <d v="2023-04-14T00:00:00"/>
    <d v="2023-04-17T00:00:00"/>
    <x v="3"/>
  </r>
  <r>
    <x v="307"/>
    <x v="2"/>
    <x v="1"/>
    <n v="8"/>
    <n v="430.06"/>
    <x v="0"/>
    <x v="0"/>
    <x v="3"/>
    <x v="5"/>
    <n v="3268.4560000000001"/>
    <x v="3"/>
    <x v="1"/>
    <n v="0"/>
    <s v="REG101221"/>
    <s v="Cust 6844"/>
    <n v="38.450000000000003"/>
    <d v="2023-02-01T00:00:00"/>
    <d v="2023-02-05T00:00:00"/>
    <x v="2"/>
  </r>
  <r>
    <x v="261"/>
    <x v="0"/>
    <x v="4"/>
    <n v="14"/>
    <n v="429.72"/>
    <x v="1"/>
    <x v="1"/>
    <x v="1"/>
    <x v="0"/>
    <n v="5414.4719999999998"/>
    <x v="4"/>
    <x v="1"/>
    <n v="0"/>
    <s v="REG101222"/>
    <s v="Cust 3248"/>
    <n v="45.78"/>
    <d v="2024-06-30T00:00:00"/>
    <d v="2024-07-05T00:00:00"/>
    <x v="0"/>
  </r>
  <r>
    <x v="90"/>
    <x v="3"/>
    <x v="1"/>
    <n v="13"/>
    <n v="127.34"/>
    <x v="3"/>
    <x v="0"/>
    <x v="0"/>
    <x v="1"/>
    <n v="1655.42"/>
    <x v="2"/>
    <x v="2"/>
    <n v="0"/>
    <s v="REG101223"/>
    <s v="Cust 5226"/>
    <n v="6.15"/>
    <d v="2023-10-18T00:00:00"/>
    <d v="2023-10-21T00:00:00"/>
    <x v="3"/>
  </r>
  <r>
    <x v="532"/>
    <x v="0"/>
    <x v="4"/>
    <n v="6"/>
    <n v="421.97"/>
    <x v="0"/>
    <x v="0"/>
    <x v="3"/>
    <x v="5"/>
    <n v="2405.2289999999998"/>
    <x v="4"/>
    <x v="2"/>
    <n v="0"/>
    <s v="REG101224"/>
    <s v="Cust 9804"/>
    <n v="41.31"/>
    <d v="2024-07-04T00:00:00"/>
    <d v="2024-07-13T00:00:00"/>
    <x v="0"/>
  </r>
  <r>
    <x v="532"/>
    <x v="0"/>
    <x v="5"/>
    <n v="5"/>
    <n v="225.69"/>
    <x v="1"/>
    <x v="0"/>
    <x v="2"/>
    <x v="3"/>
    <n v="959.1825"/>
    <x v="1"/>
    <x v="2"/>
    <n v="0"/>
    <s v="REG101225"/>
    <s v="Cust 3990"/>
    <n v="47.6"/>
    <d v="2024-07-04T00:00:00"/>
    <d v="2024-07-12T00:00:00"/>
    <x v="0"/>
  </r>
  <r>
    <x v="74"/>
    <x v="2"/>
    <x v="4"/>
    <n v="10"/>
    <n v="322.11"/>
    <x v="1"/>
    <x v="1"/>
    <x v="2"/>
    <x v="4"/>
    <n v="2737.9349999999999"/>
    <x v="3"/>
    <x v="2"/>
    <n v="0"/>
    <s v="REG101226"/>
    <s v="Cust 5106"/>
    <n v="28.72"/>
    <d v="2023-07-27T00:00:00"/>
    <d v="2023-08-02T00:00:00"/>
    <x v="2"/>
  </r>
  <r>
    <x v="89"/>
    <x v="4"/>
    <x v="2"/>
    <n v="4"/>
    <n v="209.3"/>
    <x v="0"/>
    <x v="1"/>
    <x v="3"/>
    <x v="1"/>
    <n v="795.34"/>
    <x v="1"/>
    <x v="3"/>
    <n v="0"/>
    <s v="REG101227"/>
    <s v="Cust 3448"/>
    <n v="6.89"/>
    <d v="2025-03-01T00:00:00"/>
    <d v="2025-03-06T00:00:00"/>
    <x v="4"/>
  </r>
  <r>
    <x v="0"/>
    <x v="3"/>
    <x v="2"/>
    <n v="16"/>
    <n v="326.16000000000003"/>
    <x v="2"/>
    <x v="0"/>
    <x v="1"/>
    <x v="2"/>
    <n v="4696.7040000000006"/>
    <x v="2"/>
    <x v="3"/>
    <n v="0"/>
    <s v="REG101228"/>
    <s v="Cust 1439"/>
    <n v="44.3"/>
    <d v="2023-02-23T00:00:00"/>
    <d v="2023-02-25T00:00:00"/>
    <x v="3"/>
  </r>
  <r>
    <x v="6"/>
    <x v="0"/>
    <x v="4"/>
    <n v="13"/>
    <n v="515.41999999999996"/>
    <x v="3"/>
    <x v="1"/>
    <x v="0"/>
    <x v="5"/>
    <n v="6700.4599999999991"/>
    <x v="0"/>
    <x v="0"/>
    <n v="0"/>
    <s v="REG101229"/>
    <s v="Cust 5342"/>
    <n v="43.37"/>
    <d v="2023-01-11T00:00:00"/>
    <d v="2023-01-20T00:00:00"/>
    <x v="0"/>
  </r>
  <r>
    <x v="683"/>
    <x v="4"/>
    <x v="5"/>
    <n v="7"/>
    <n v="129.83000000000001"/>
    <x v="1"/>
    <x v="0"/>
    <x v="0"/>
    <x v="3"/>
    <n v="908.81000000000006"/>
    <x v="1"/>
    <x v="2"/>
    <n v="0"/>
    <s v="REG101230"/>
    <s v="Cust 4564"/>
    <n v="13.12"/>
    <d v="2024-04-16T00:00:00"/>
    <d v="2024-04-20T00:00:00"/>
    <x v="4"/>
  </r>
  <r>
    <x v="542"/>
    <x v="3"/>
    <x v="4"/>
    <n v="17"/>
    <n v="376.15"/>
    <x v="2"/>
    <x v="1"/>
    <x v="3"/>
    <x v="4"/>
    <n v="6074.8224999999993"/>
    <x v="1"/>
    <x v="2"/>
    <n v="1"/>
    <s v="REG101231"/>
    <s v="Cust 6441"/>
    <n v="31.96"/>
    <d v="2024-03-09T00:00:00"/>
    <d v="2024-03-12T00:00:00"/>
    <x v="3"/>
  </r>
  <r>
    <x v="263"/>
    <x v="1"/>
    <x v="3"/>
    <n v="8"/>
    <n v="385.46"/>
    <x v="1"/>
    <x v="0"/>
    <x v="0"/>
    <x v="5"/>
    <n v="3083.68"/>
    <x v="4"/>
    <x v="1"/>
    <n v="0"/>
    <s v="REG101232"/>
    <s v="Cust 7591"/>
    <n v="8.89"/>
    <d v="2024-10-07T00:00:00"/>
    <d v="2024-10-11T00:00:00"/>
    <x v="1"/>
  </r>
  <r>
    <x v="677"/>
    <x v="4"/>
    <x v="6"/>
    <n v="2"/>
    <n v="474.13"/>
    <x v="3"/>
    <x v="0"/>
    <x v="0"/>
    <x v="3"/>
    <n v="948.26"/>
    <x v="1"/>
    <x v="0"/>
    <n v="1"/>
    <s v="REG101233"/>
    <s v="Cust 9778"/>
    <n v="14.41"/>
    <d v="2023-10-06T00:00:00"/>
    <d v="2023-10-15T00:00:00"/>
    <x v="4"/>
  </r>
  <r>
    <x v="684"/>
    <x v="4"/>
    <x v="4"/>
    <n v="15"/>
    <n v="506.17"/>
    <x v="0"/>
    <x v="0"/>
    <x v="3"/>
    <x v="1"/>
    <n v="7212.9224999999997"/>
    <x v="0"/>
    <x v="3"/>
    <n v="0"/>
    <s v="REG101234"/>
    <s v="Cust 1195"/>
    <n v="41.73"/>
    <d v="2023-04-08T00:00:00"/>
    <d v="2023-04-13T00:00:00"/>
    <x v="4"/>
  </r>
  <r>
    <x v="5"/>
    <x v="1"/>
    <x v="1"/>
    <n v="1"/>
    <n v="67.38"/>
    <x v="3"/>
    <x v="1"/>
    <x v="2"/>
    <x v="1"/>
    <n v="57.273000000000003"/>
    <x v="2"/>
    <x v="2"/>
    <n v="0"/>
    <s v="REG101235"/>
    <s v="Cust 8126"/>
    <n v="6.14"/>
    <d v="2024-02-20T00:00:00"/>
    <d v="2024-02-27T00:00:00"/>
    <x v="1"/>
  </r>
  <r>
    <x v="685"/>
    <x v="4"/>
    <x v="3"/>
    <n v="15"/>
    <n v="274.3"/>
    <x v="0"/>
    <x v="1"/>
    <x v="2"/>
    <x v="2"/>
    <n v="3497.3249999999998"/>
    <x v="2"/>
    <x v="3"/>
    <n v="0"/>
    <s v="REG101236"/>
    <s v="Cust 4609"/>
    <n v="21.56"/>
    <d v="2023-01-30T00:00:00"/>
    <d v="2023-02-08T00:00:00"/>
    <x v="4"/>
  </r>
  <r>
    <x v="551"/>
    <x v="1"/>
    <x v="4"/>
    <n v="2"/>
    <n v="334.48"/>
    <x v="0"/>
    <x v="0"/>
    <x v="0"/>
    <x v="1"/>
    <n v="668.96"/>
    <x v="3"/>
    <x v="3"/>
    <n v="0"/>
    <s v="REG101237"/>
    <s v="Cust 1449"/>
    <n v="31.53"/>
    <d v="2023-05-12T00:00:00"/>
    <d v="2023-05-20T00:00:00"/>
    <x v="1"/>
  </r>
  <r>
    <x v="590"/>
    <x v="1"/>
    <x v="3"/>
    <n v="7"/>
    <n v="562.6"/>
    <x v="1"/>
    <x v="1"/>
    <x v="2"/>
    <x v="0"/>
    <n v="3347.47"/>
    <x v="0"/>
    <x v="2"/>
    <n v="0"/>
    <s v="REG101238"/>
    <s v="Cust 3508"/>
    <n v="19.95"/>
    <d v="2024-01-08T00:00:00"/>
    <d v="2024-01-12T00:00:00"/>
    <x v="1"/>
  </r>
  <r>
    <x v="410"/>
    <x v="2"/>
    <x v="4"/>
    <n v="7"/>
    <n v="14.34"/>
    <x v="3"/>
    <x v="1"/>
    <x v="3"/>
    <x v="1"/>
    <n v="95.36099999999999"/>
    <x v="3"/>
    <x v="2"/>
    <n v="0"/>
    <s v="REG101239"/>
    <s v="Cust 4826"/>
    <n v="19.45"/>
    <d v="2024-06-05T00:00:00"/>
    <d v="2024-06-08T00:00:00"/>
    <x v="2"/>
  </r>
  <r>
    <x v="83"/>
    <x v="0"/>
    <x v="1"/>
    <n v="11"/>
    <n v="34.72"/>
    <x v="0"/>
    <x v="0"/>
    <x v="1"/>
    <x v="4"/>
    <n v="343.72800000000001"/>
    <x v="1"/>
    <x v="0"/>
    <n v="0"/>
    <s v="REG101240"/>
    <s v="Cust 1232"/>
    <n v="9.31"/>
    <d v="2025-05-21T00:00:00"/>
    <d v="2025-05-23T00:00:00"/>
    <x v="0"/>
  </r>
  <r>
    <x v="83"/>
    <x v="0"/>
    <x v="3"/>
    <n v="7"/>
    <n v="15.06"/>
    <x v="1"/>
    <x v="1"/>
    <x v="0"/>
    <x v="1"/>
    <n v="105.42"/>
    <x v="4"/>
    <x v="3"/>
    <n v="1"/>
    <s v="REG101241"/>
    <s v="Cust 9675"/>
    <n v="46.57"/>
    <d v="2025-05-21T00:00:00"/>
    <d v="2025-05-26T00:00:00"/>
    <x v="0"/>
  </r>
  <r>
    <x v="509"/>
    <x v="0"/>
    <x v="6"/>
    <n v="11"/>
    <n v="488.17"/>
    <x v="0"/>
    <x v="0"/>
    <x v="3"/>
    <x v="5"/>
    <n v="5101.3764999999994"/>
    <x v="4"/>
    <x v="2"/>
    <n v="1"/>
    <s v="REG101242"/>
    <s v="Cust 5153"/>
    <n v="37.47"/>
    <d v="2023-03-05T00:00:00"/>
    <d v="2023-03-11T00:00:00"/>
    <x v="0"/>
  </r>
  <r>
    <x v="686"/>
    <x v="1"/>
    <x v="5"/>
    <n v="10"/>
    <n v="268.39"/>
    <x v="0"/>
    <x v="1"/>
    <x v="3"/>
    <x v="1"/>
    <n v="2549.704999999999"/>
    <x v="2"/>
    <x v="1"/>
    <n v="0"/>
    <s v="REG101243"/>
    <s v="Cust 6330"/>
    <n v="25.86"/>
    <d v="2024-10-27T00:00:00"/>
    <d v="2024-11-02T00:00:00"/>
    <x v="1"/>
  </r>
  <r>
    <x v="687"/>
    <x v="2"/>
    <x v="5"/>
    <n v="5"/>
    <n v="64.180000000000007"/>
    <x v="2"/>
    <x v="1"/>
    <x v="1"/>
    <x v="0"/>
    <n v="288.81000000000012"/>
    <x v="1"/>
    <x v="1"/>
    <n v="0"/>
    <s v="REG101244"/>
    <s v="Cust 8277"/>
    <n v="21.17"/>
    <d v="2025-03-24T00:00:00"/>
    <d v="2025-03-29T00:00:00"/>
    <x v="2"/>
  </r>
  <r>
    <x v="367"/>
    <x v="4"/>
    <x v="1"/>
    <n v="15"/>
    <n v="466.55"/>
    <x v="1"/>
    <x v="1"/>
    <x v="3"/>
    <x v="1"/>
    <n v="6648.3374999999996"/>
    <x v="4"/>
    <x v="1"/>
    <n v="1"/>
    <s v="REG101245"/>
    <s v="Cust 5884"/>
    <n v="36.68"/>
    <d v="2024-09-21T00:00:00"/>
    <d v="2024-09-27T00:00:00"/>
    <x v="4"/>
  </r>
  <r>
    <x v="662"/>
    <x v="2"/>
    <x v="2"/>
    <n v="8"/>
    <n v="505.34"/>
    <x v="0"/>
    <x v="1"/>
    <x v="3"/>
    <x v="5"/>
    <n v="3840.5839999999998"/>
    <x v="3"/>
    <x v="3"/>
    <n v="0"/>
    <s v="REG101246"/>
    <s v="Cust 4061"/>
    <n v="22.88"/>
    <d v="2025-05-18T00:00:00"/>
    <d v="2025-05-27T00:00:00"/>
    <x v="2"/>
  </r>
  <r>
    <x v="156"/>
    <x v="0"/>
    <x v="4"/>
    <n v="6"/>
    <n v="100.75"/>
    <x v="1"/>
    <x v="0"/>
    <x v="1"/>
    <x v="2"/>
    <n v="544.05000000000007"/>
    <x v="2"/>
    <x v="0"/>
    <n v="0"/>
    <s v="REG101247"/>
    <s v="Cust 8095"/>
    <n v="12.98"/>
    <d v="2024-07-11T00:00:00"/>
    <d v="2024-07-14T00:00:00"/>
    <x v="0"/>
  </r>
  <r>
    <x v="614"/>
    <x v="2"/>
    <x v="5"/>
    <n v="8"/>
    <n v="352.72"/>
    <x v="2"/>
    <x v="1"/>
    <x v="3"/>
    <x v="3"/>
    <n v="2680.672"/>
    <x v="4"/>
    <x v="3"/>
    <n v="0"/>
    <s v="REG101248"/>
    <s v="Cust 2435"/>
    <n v="30.8"/>
    <d v="2025-01-27T00:00:00"/>
    <d v="2025-02-04T00:00:00"/>
    <x v="2"/>
  </r>
  <r>
    <x v="168"/>
    <x v="0"/>
    <x v="0"/>
    <n v="9"/>
    <n v="526.26"/>
    <x v="0"/>
    <x v="1"/>
    <x v="0"/>
    <x v="5"/>
    <n v="4736.34"/>
    <x v="4"/>
    <x v="0"/>
    <n v="0"/>
    <s v="REG101249"/>
    <s v="Cust 6785"/>
    <n v="15.47"/>
    <d v="2023-11-26T00:00:00"/>
    <d v="2023-12-06T00:00:00"/>
    <x v="0"/>
  </r>
  <r>
    <x v="403"/>
    <x v="3"/>
    <x v="6"/>
    <n v="18"/>
    <n v="519.41999999999996"/>
    <x v="2"/>
    <x v="1"/>
    <x v="2"/>
    <x v="0"/>
    <n v="7947.1259999999993"/>
    <x v="4"/>
    <x v="2"/>
    <n v="0"/>
    <s v="REG101250"/>
    <s v="Cust 6485"/>
    <n v="32.96"/>
    <d v="2024-06-02T00:00:00"/>
    <d v="2024-06-04T00:00:00"/>
    <x v="3"/>
  </r>
  <r>
    <x v="585"/>
    <x v="2"/>
    <x v="3"/>
    <n v="18"/>
    <n v="108.46"/>
    <x v="3"/>
    <x v="0"/>
    <x v="3"/>
    <x v="2"/>
    <n v="1854.6659999999999"/>
    <x v="0"/>
    <x v="1"/>
    <n v="0"/>
    <s v="REG101251"/>
    <s v="Cust 6960"/>
    <n v="10.72"/>
    <d v="2023-01-17T00:00:00"/>
    <d v="2023-01-24T00:00:00"/>
    <x v="2"/>
  </r>
  <r>
    <x v="688"/>
    <x v="2"/>
    <x v="2"/>
    <n v="13"/>
    <n v="420.68"/>
    <x v="3"/>
    <x v="0"/>
    <x v="3"/>
    <x v="2"/>
    <n v="5195.3980000000001"/>
    <x v="0"/>
    <x v="3"/>
    <n v="0"/>
    <s v="REG101252"/>
    <s v="Cust 1135"/>
    <n v="24.51"/>
    <d v="2025-05-03T00:00:00"/>
    <d v="2025-05-11T00:00:00"/>
    <x v="2"/>
  </r>
  <r>
    <x v="689"/>
    <x v="2"/>
    <x v="6"/>
    <n v="17"/>
    <n v="5.91"/>
    <x v="1"/>
    <x v="0"/>
    <x v="2"/>
    <x v="0"/>
    <n v="85.399500000000003"/>
    <x v="0"/>
    <x v="1"/>
    <n v="0"/>
    <s v="REG101253"/>
    <s v="Cust 6186"/>
    <n v="44.85"/>
    <d v="2025-01-05T00:00:00"/>
    <d v="2025-01-13T00:00:00"/>
    <x v="2"/>
  </r>
  <r>
    <x v="5"/>
    <x v="0"/>
    <x v="1"/>
    <n v="4"/>
    <n v="452.77"/>
    <x v="0"/>
    <x v="1"/>
    <x v="0"/>
    <x v="4"/>
    <n v="1811.08"/>
    <x v="3"/>
    <x v="1"/>
    <n v="0"/>
    <s v="REG101254"/>
    <s v="Cust 8828"/>
    <n v="32.01"/>
    <d v="2024-02-20T00:00:00"/>
    <d v="2024-03-01T00:00:00"/>
    <x v="0"/>
  </r>
  <r>
    <x v="442"/>
    <x v="2"/>
    <x v="4"/>
    <n v="7"/>
    <n v="157"/>
    <x v="1"/>
    <x v="0"/>
    <x v="2"/>
    <x v="1"/>
    <n v="934.15"/>
    <x v="0"/>
    <x v="1"/>
    <n v="1"/>
    <s v="REG101255"/>
    <s v="Cust 9097"/>
    <n v="39.72"/>
    <d v="2023-12-26T00:00:00"/>
    <d v="2024-01-04T00:00:00"/>
    <x v="2"/>
  </r>
  <r>
    <x v="334"/>
    <x v="2"/>
    <x v="6"/>
    <n v="11"/>
    <n v="550.86"/>
    <x v="2"/>
    <x v="1"/>
    <x v="1"/>
    <x v="5"/>
    <n v="5453.5140000000001"/>
    <x v="0"/>
    <x v="0"/>
    <n v="0"/>
    <s v="REG101256"/>
    <s v="Cust 4744"/>
    <n v="21.82"/>
    <d v="2023-03-07T00:00:00"/>
    <d v="2023-03-12T00:00:00"/>
    <x v="2"/>
  </r>
  <r>
    <x v="277"/>
    <x v="2"/>
    <x v="3"/>
    <n v="5"/>
    <n v="172.65"/>
    <x v="2"/>
    <x v="0"/>
    <x v="2"/>
    <x v="1"/>
    <n v="733.76249999999993"/>
    <x v="4"/>
    <x v="1"/>
    <n v="0"/>
    <s v="REG101257"/>
    <s v="Cust 4287"/>
    <n v="28.3"/>
    <d v="2024-09-13T00:00:00"/>
    <d v="2024-09-22T00:00:00"/>
    <x v="2"/>
  </r>
  <r>
    <x v="78"/>
    <x v="0"/>
    <x v="5"/>
    <n v="16"/>
    <n v="145.30000000000001"/>
    <x v="0"/>
    <x v="0"/>
    <x v="0"/>
    <x v="0"/>
    <n v="2324.8000000000002"/>
    <x v="2"/>
    <x v="0"/>
    <n v="1"/>
    <s v="REG101258"/>
    <s v="Cust 2236"/>
    <n v="29.64"/>
    <d v="2024-01-02T00:00:00"/>
    <d v="2024-01-12T00:00:00"/>
    <x v="0"/>
  </r>
  <r>
    <x v="658"/>
    <x v="1"/>
    <x v="6"/>
    <n v="10"/>
    <n v="67.38"/>
    <x v="2"/>
    <x v="1"/>
    <x v="1"/>
    <x v="4"/>
    <n v="606.41999999999996"/>
    <x v="1"/>
    <x v="0"/>
    <n v="1"/>
    <s v="REG101259"/>
    <s v="Cust 5312"/>
    <n v="20.58"/>
    <d v="2025-02-08T00:00:00"/>
    <d v="2025-02-18T00:00:00"/>
    <x v="1"/>
  </r>
  <r>
    <x v="155"/>
    <x v="1"/>
    <x v="6"/>
    <n v="15"/>
    <n v="141.13"/>
    <x v="3"/>
    <x v="0"/>
    <x v="0"/>
    <x v="3"/>
    <n v="2116.9499999999998"/>
    <x v="4"/>
    <x v="1"/>
    <n v="0"/>
    <s v="REG101260"/>
    <s v="Cust 5096"/>
    <n v="19.63"/>
    <d v="2025-03-04T00:00:00"/>
    <d v="2025-03-12T00:00:00"/>
    <x v="1"/>
  </r>
  <r>
    <x v="690"/>
    <x v="3"/>
    <x v="5"/>
    <n v="1"/>
    <n v="534.61"/>
    <x v="3"/>
    <x v="1"/>
    <x v="3"/>
    <x v="2"/>
    <n v="507.87950000000001"/>
    <x v="0"/>
    <x v="1"/>
    <n v="0"/>
    <s v="REG101261"/>
    <s v="Cust 1162"/>
    <n v="22.68"/>
    <d v="2024-03-12T00:00:00"/>
    <d v="2024-03-21T00:00:00"/>
    <x v="3"/>
  </r>
  <r>
    <x v="691"/>
    <x v="0"/>
    <x v="1"/>
    <n v="9"/>
    <n v="560.04"/>
    <x v="3"/>
    <x v="1"/>
    <x v="3"/>
    <x v="3"/>
    <n v="4788.3419999999996"/>
    <x v="1"/>
    <x v="2"/>
    <n v="0"/>
    <s v="REG101262"/>
    <s v="Cust 1669"/>
    <n v="22.81"/>
    <d v="2024-07-03T00:00:00"/>
    <d v="2024-07-07T00:00:00"/>
    <x v="0"/>
  </r>
  <r>
    <x v="689"/>
    <x v="2"/>
    <x v="0"/>
    <n v="8"/>
    <n v="275.32"/>
    <x v="3"/>
    <x v="1"/>
    <x v="1"/>
    <x v="4"/>
    <n v="1982.3040000000001"/>
    <x v="4"/>
    <x v="1"/>
    <n v="0"/>
    <s v="REG101263"/>
    <s v="Cust 6213"/>
    <n v="18.260000000000002"/>
    <d v="2025-01-05T00:00:00"/>
    <d v="2025-01-13T00:00:00"/>
    <x v="2"/>
  </r>
  <r>
    <x v="58"/>
    <x v="0"/>
    <x v="1"/>
    <n v="3"/>
    <n v="105.73"/>
    <x v="3"/>
    <x v="1"/>
    <x v="3"/>
    <x v="5"/>
    <n v="301.33049999999997"/>
    <x v="3"/>
    <x v="0"/>
    <n v="1"/>
    <s v="REG101264"/>
    <s v="Cust 7659"/>
    <n v="12.12"/>
    <d v="2024-03-21T00:00:00"/>
    <d v="2024-03-28T00:00:00"/>
    <x v="0"/>
  </r>
  <r>
    <x v="136"/>
    <x v="3"/>
    <x v="4"/>
    <n v="15"/>
    <n v="568.80999999999995"/>
    <x v="3"/>
    <x v="1"/>
    <x v="1"/>
    <x v="2"/>
    <n v="7678.9349999999986"/>
    <x v="1"/>
    <x v="3"/>
    <n v="0"/>
    <s v="REG101265"/>
    <s v="Cust 2894"/>
    <n v="8.5399999999999991"/>
    <d v="2025-03-28T00:00:00"/>
    <d v="2025-04-03T00:00:00"/>
    <x v="3"/>
  </r>
  <r>
    <x v="91"/>
    <x v="3"/>
    <x v="0"/>
    <n v="20"/>
    <n v="190.39"/>
    <x v="0"/>
    <x v="1"/>
    <x v="1"/>
    <x v="5"/>
    <n v="3427.02"/>
    <x v="1"/>
    <x v="1"/>
    <n v="0"/>
    <s v="REG101266"/>
    <s v="Cust 1457"/>
    <n v="49.93"/>
    <d v="2025-04-13T00:00:00"/>
    <d v="2025-04-18T00:00:00"/>
    <x v="3"/>
  </r>
  <r>
    <x v="401"/>
    <x v="4"/>
    <x v="3"/>
    <n v="19"/>
    <n v="433.39"/>
    <x v="2"/>
    <x v="1"/>
    <x v="3"/>
    <x v="5"/>
    <n v="7822.6894999999986"/>
    <x v="0"/>
    <x v="2"/>
    <n v="0"/>
    <s v="REG101267"/>
    <s v="Cust 2410"/>
    <n v="7.59"/>
    <d v="2024-04-30T00:00:00"/>
    <d v="2024-05-09T00:00:00"/>
    <x v="4"/>
  </r>
  <r>
    <x v="664"/>
    <x v="1"/>
    <x v="1"/>
    <n v="1"/>
    <n v="92.72"/>
    <x v="2"/>
    <x v="0"/>
    <x v="2"/>
    <x v="0"/>
    <n v="78.811999999999998"/>
    <x v="3"/>
    <x v="2"/>
    <n v="0"/>
    <s v="REG101268"/>
    <s v="Cust 4723"/>
    <n v="48.46"/>
    <d v="2025-02-15T00:00:00"/>
    <d v="2025-02-19T00:00:00"/>
    <x v="1"/>
  </r>
  <r>
    <x v="616"/>
    <x v="4"/>
    <x v="0"/>
    <n v="1"/>
    <n v="263.27999999999997"/>
    <x v="3"/>
    <x v="0"/>
    <x v="1"/>
    <x v="0"/>
    <n v="236.952"/>
    <x v="2"/>
    <x v="1"/>
    <n v="0"/>
    <s v="REG101269"/>
    <s v="Cust 1586"/>
    <n v="36.28"/>
    <d v="2025-02-18T00:00:00"/>
    <d v="2025-02-23T00:00:00"/>
    <x v="4"/>
  </r>
  <r>
    <x v="247"/>
    <x v="4"/>
    <x v="1"/>
    <n v="11"/>
    <n v="358.59"/>
    <x v="0"/>
    <x v="0"/>
    <x v="0"/>
    <x v="2"/>
    <n v="3944.49"/>
    <x v="2"/>
    <x v="3"/>
    <n v="0"/>
    <s v="REG101270"/>
    <s v="Cust 5049"/>
    <n v="29.19"/>
    <d v="2023-09-08T00:00:00"/>
    <d v="2023-09-10T00:00:00"/>
    <x v="4"/>
  </r>
  <r>
    <x v="692"/>
    <x v="3"/>
    <x v="5"/>
    <n v="18"/>
    <n v="595.53"/>
    <x v="0"/>
    <x v="1"/>
    <x v="0"/>
    <x v="2"/>
    <n v="10719.54"/>
    <x v="4"/>
    <x v="2"/>
    <n v="0"/>
    <s v="REG101271"/>
    <s v="Cust 9534"/>
    <n v="42.91"/>
    <d v="2024-02-04T00:00:00"/>
    <d v="2024-02-06T00:00:00"/>
    <x v="3"/>
  </r>
  <r>
    <x v="681"/>
    <x v="2"/>
    <x v="4"/>
    <n v="14"/>
    <n v="574.32000000000005"/>
    <x v="3"/>
    <x v="0"/>
    <x v="2"/>
    <x v="4"/>
    <n v="6834.4080000000004"/>
    <x v="2"/>
    <x v="1"/>
    <n v="0"/>
    <s v="REG101272"/>
    <s v="Cust 5693"/>
    <n v="12.07"/>
    <d v="2024-11-25T00:00:00"/>
    <d v="2024-12-05T00:00:00"/>
    <x v="2"/>
  </r>
  <r>
    <x v="671"/>
    <x v="2"/>
    <x v="0"/>
    <n v="18"/>
    <n v="444.13"/>
    <x v="3"/>
    <x v="1"/>
    <x v="0"/>
    <x v="2"/>
    <n v="7994.34"/>
    <x v="4"/>
    <x v="1"/>
    <n v="0"/>
    <s v="REG101273"/>
    <s v="Cust 6950"/>
    <n v="5.41"/>
    <d v="2024-12-30T00:00:00"/>
    <d v="2025-01-02T00:00:00"/>
    <x v="2"/>
  </r>
  <r>
    <x v="569"/>
    <x v="4"/>
    <x v="5"/>
    <n v="19"/>
    <n v="431.47"/>
    <x v="1"/>
    <x v="1"/>
    <x v="1"/>
    <x v="0"/>
    <n v="7378.1370000000006"/>
    <x v="1"/>
    <x v="2"/>
    <n v="0"/>
    <s v="REG101274"/>
    <s v="Cust 7098"/>
    <n v="49.23"/>
    <d v="2023-09-05T00:00:00"/>
    <d v="2023-09-10T00:00:00"/>
    <x v="4"/>
  </r>
  <r>
    <x v="588"/>
    <x v="4"/>
    <x v="6"/>
    <n v="19"/>
    <n v="67.489999999999995"/>
    <x v="2"/>
    <x v="1"/>
    <x v="0"/>
    <x v="2"/>
    <n v="1282.31"/>
    <x v="3"/>
    <x v="1"/>
    <n v="0"/>
    <s v="REG101275"/>
    <s v="Cust 8300"/>
    <n v="32.04"/>
    <d v="2023-08-01T00:00:00"/>
    <d v="2023-08-11T00:00:00"/>
    <x v="4"/>
  </r>
  <r>
    <x v="463"/>
    <x v="3"/>
    <x v="5"/>
    <n v="11"/>
    <n v="25.67"/>
    <x v="2"/>
    <x v="1"/>
    <x v="2"/>
    <x v="3"/>
    <n v="240.0145"/>
    <x v="2"/>
    <x v="1"/>
    <n v="0"/>
    <s v="REG101276"/>
    <s v="Cust 9557"/>
    <n v="30.12"/>
    <d v="2023-01-06T00:00:00"/>
    <d v="2023-01-08T00:00:00"/>
    <x v="3"/>
  </r>
  <r>
    <x v="693"/>
    <x v="3"/>
    <x v="1"/>
    <n v="4"/>
    <n v="368.69"/>
    <x v="3"/>
    <x v="0"/>
    <x v="0"/>
    <x v="4"/>
    <n v="1474.76"/>
    <x v="1"/>
    <x v="2"/>
    <n v="0"/>
    <s v="REG101277"/>
    <s v="Cust 8787"/>
    <n v="48.57"/>
    <d v="2025-05-02T00:00:00"/>
    <d v="2025-05-06T00:00:00"/>
    <x v="3"/>
  </r>
  <r>
    <x v="146"/>
    <x v="4"/>
    <x v="4"/>
    <n v="7"/>
    <n v="257.01"/>
    <x v="3"/>
    <x v="1"/>
    <x v="3"/>
    <x v="0"/>
    <n v="1709.1165000000001"/>
    <x v="2"/>
    <x v="3"/>
    <n v="0"/>
    <s v="REG101278"/>
    <s v="Cust 9717"/>
    <n v="35.520000000000003"/>
    <d v="2023-12-21T00:00:00"/>
    <d v="2023-12-28T00:00:00"/>
    <x v="4"/>
  </r>
  <r>
    <x v="328"/>
    <x v="0"/>
    <x v="0"/>
    <n v="14"/>
    <n v="85.54"/>
    <x v="0"/>
    <x v="0"/>
    <x v="0"/>
    <x v="2"/>
    <n v="1197.56"/>
    <x v="1"/>
    <x v="0"/>
    <n v="0"/>
    <s v="REG101279"/>
    <s v="Cust 2719"/>
    <n v="16.079999999999998"/>
    <d v="2024-09-10T00:00:00"/>
    <d v="2024-09-14T00:00:00"/>
    <x v="0"/>
  </r>
  <r>
    <x v="393"/>
    <x v="3"/>
    <x v="3"/>
    <n v="9"/>
    <n v="267.60000000000002"/>
    <x v="3"/>
    <x v="1"/>
    <x v="2"/>
    <x v="0"/>
    <n v="2047.14"/>
    <x v="2"/>
    <x v="0"/>
    <n v="0"/>
    <s v="REG101280"/>
    <s v="Cust 6203"/>
    <n v="8.48"/>
    <d v="2024-04-05T00:00:00"/>
    <d v="2024-04-10T00:00:00"/>
    <x v="3"/>
  </r>
  <r>
    <x v="238"/>
    <x v="0"/>
    <x v="2"/>
    <n v="15"/>
    <n v="261.85000000000002"/>
    <x v="3"/>
    <x v="0"/>
    <x v="2"/>
    <x v="4"/>
    <n v="3338.5875000000001"/>
    <x v="0"/>
    <x v="1"/>
    <n v="0"/>
    <s v="REG101281"/>
    <s v="Cust 9151"/>
    <n v="40.68"/>
    <d v="2023-07-26T00:00:00"/>
    <d v="2023-07-31T00:00:00"/>
    <x v="0"/>
  </r>
  <r>
    <x v="694"/>
    <x v="0"/>
    <x v="6"/>
    <n v="11"/>
    <n v="199.57"/>
    <x v="1"/>
    <x v="1"/>
    <x v="3"/>
    <x v="5"/>
    <n v="2085.5065"/>
    <x v="3"/>
    <x v="1"/>
    <n v="0"/>
    <s v="REG101282"/>
    <s v="Cust 5096"/>
    <n v="48.94"/>
    <d v="2023-11-12T00:00:00"/>
    <d v="2023-11-14T00:00:00"/>
    <x v="0"/>
  </r>
  <r>
    <x v="308"/>
    <x v="3"/>
    <x v="1"/>
    <n v="5"/>
    <n v="504.96"/>
    <x v="2"/>
    <x v="1"/>
    <x v="3"/>
    <x v="4"/>
    <n v="2398.559999999999"/>
    <x v="1"/>
    <x v="0"/>
    <n v="0"/>
    <s v="REG101283"/>
    <s v="Cust 4250"/>
    <n v="22.12"/>
    <d v="2025-04-18T00:00:00"/>
    <d v="2025-04-20T00:00:00"/>
    <x v="3"/>
  </r>
  <r>
    <x v="181"/>
    <x v="1"/>
    <x v="3"/>
    <n v="8"/>
    <n v="28.34"/>
    <x v="2"/>
    <x v="0"/>
    <x v="3"/>
    <x v="1"/>
    <n v="215.38399999999999"/>
    <x v="4"/>
    <x v="3"/>
    <n v="1"/>
    <s v="REG101284"/>
    <s v="Cust 1276"/>
    <n v="23.19"/>
    <d v="2023-08-12T00:00:00"/>
    <d v="2023-08-19T00:00:00"/>
    <x v="1"/>
  </r>
  <r>
    <x v="621"/>
    <x v="4"/>
    <x v="6"/>
    <n v="17"/>
    <n v="495.13"/>
    <x v="3"/>
    <x v="0"/>
    <x v="1"/>
    <x v="1"/>
    <n v="7575.4889999999996"/>
    <x v="0"/>
    <x v="0"/>
    <n v="1"/>
    <s v="REG101285"/>
    <s v="Cust 6063"/>
    <n v="26.37"/>
    <d v="2024-12-12T00:00:00"/>
    <d v="2024-12-21T00:00:00"/>
    <x v="4"/>
  </r>
  <r>
    <x v="695"/>
    <x v="4"/>
    <x v="1"/>
    <n v="14"/>
    <n v="142.05000000000001"/>
    <x v="3"/>
    <x v="1"/>
    <x v="3"/>
    <x v="2"/>
    <n v="1889.2650000000001"/>
    <x v="1"/>
    <x v="1"/>
    <n v="0"/>
    <s v="REG101286"/>
    <s v="Cust 7604"/>
    <n v="33.65"/>
    <d v="2025-05-07T00:00:00"/>
    <d v="2025-05-13T00:00:00"/>
    <x v="4"/>
  </r>
  <r>
    <x v="506"/>
    <x v="0"/>
    <x v="3"/>
    <n v="16"/>
    <n v="504.36"/>
    <x v="3"/>
    <x v="0"/>
    <x v="0"/>
    <x v="5"/>
    <n v="8069.76"/>
    <x v="3"/>
    <x v="3"/>
    <n v="1"/>
    <s v="REG101287"/>
    <s v="Cust 9402"/>
    <n v="11.67"/>
    <d v="2025-03-10T00:00:00"/>
    <d v="2025-03-13T00:00:00"/>
    <x v="0"/>
  </r>
  <r>
    <x v="216"/>
    <x v="0"/>
    <x v="2"/>
    <n v="7"/>
    <n v="122.2"/>
    <x v="0"/>
    <x v="1"/>
    <x v="0"/>
    <x v="3"/>
    <n v="855.4"/>
    <x v="2"/>
    <x v="3"/>
    <n v="0"/>
    <s v="REG101288"/>
    <s v="Cust 4398"/>
    <n v="30.21"/>
    <d v="2025-06-01T00:00:00"/>
    <d v="2025-06-10T00:00:00"/>
    <x v="0"/>
  </r>
  <r>
    <x v="460"/>
    <x v="4"/>
    <x v="3"/>
    <n v="7"/>
    <n v="338.42"/>
    <x v="0"/>
    <x v="1"/>
    <x v="2"/>
    <x v="1"/>
    <n v="2013.5989999999999"/>
    <x v="0"/>
    <x v="0"/>
    <n v="0"/>
    <s v="REG101289"/>
    <s v="Cust 8770"/>
    <n v="5.82"/>
    <d v="2025-05-19T00:00:00"/>
    <d v="2025-05-21T00:00:00"/>
    <x v="4"/>
  </r>
  <r>
    <x v="162"/>
    <x v="0"/>
    <x v="5"/>
    <n v="4"/>
    <n v="224.75"/>
    <x v="3"/>
    <x v="0"/>
    <x v="0"/>
    <x v="2"/>
    <n v="899"/>
    <x v="3"/>
    <x v="3"/>
    <n v="0"/>
    <s v="REG101290"/>
    <s v="Cust 2148"/>
    <n v="43.86"/>
    <d v="2023-02-08T00:00:00"/>
    <d v="2023-02-16T00:00:00"/>
    <x v="0"/>
  </r>
  <r>
    <x v="696"/>
    <x v="3"/>
    <x v="2"/>
    <n v="16"/>
    <n v="509.71"/>
    <x v="2"/>
    <x v="0"/>
    <x v="1"/>
    <x v="3"/>
    <n v="7339.8239999999996"/>
    <x v="4"/>
    <x v="3"/>
    <n v="0"/>
    <s v="REG101291"/>
    <s v="Cust 4107"/>
    <n v="41.78"/>
    <d v="2025-04-24T00:00:00"/>
    <d v="2025-05-03T00:00:00"/>
    <x v="3"/>
  </r>
  <r>
    <x v="404"/>
    <x v="2"/>
    <x v="5"/>
    <n v="14"/>
    <n v="297.56"/>
    <x v="0"/>
    <x v="0"/>
    <x v="1"/>
    <x v="4"/>
    <n v="3749.2559999999999"/>
    <x v="3"/>
    <x v="0"/>
    <n v="0"/>
    <s v="REG101292"/>
    <s v="Cust 4450"/>
    <n v="31.44"/>
    <d v="2024-09-01T00:00:00"/>
    <d v="2024-09-08T00:00:00"/>
    <x v="2"/>
  </r>
  <r>
    <x v="697"/>
    <x v="3"/>
    <x v="6"/>
    <n v="13"/>
    <n v="365.11"/>
    <x v="2"/>
    <x v="1"/>
    <x v="3"/>
    <x v="4"/>
    <n v="4509.1085000000003"/>
    <x v="0"/>
    <x v="3"/>
    <n v="0"/>
    <s v="REG101293"/>
    <s v="Cust 8233"/>
    <n v="13.97"/>
    <d v="2024-11-07T00:00:00"/>
    <d v="2024-11-13T00:00:00"/>
    <x v="3"/>
  </r>
  <r>
    <x v="682"/>
    <x v="0"/>
    <x v="3"/>
    <n v="1"/>
    <n v="139.13"/>
    <x v="2"/>
    <x v="0"/>
    <x v="0"/>
    <x v="3"/>
    <n v="139.13"/>
    <x v="4"/>
    <x v="3"/>
    <n v="1"/>
    <s v="REG101294"/>
    <s v="Cust 9012"/>
    <n v="35.92"/>
    <d v="2024-11-29T00:00:00"/>
    <d v="2024-12-02T00:00:00"/>
    <x v="0"/>
  </r>
  <r>
    <x v="154"/>
    <x v="4"/>
    <x v="3"/>
    <n v="6"/>
    <n v="543.89"/>
    <x v="2"/>
    <x v="1"/>
    <x v="0"/>
    <x v="5"/>
    <n v="3263.34"/>
    <x v="4"/>
    <x v="3"/>
    <n v="1"/>
    <s v="REG101295"/>
    <s v="Cust 1496"/>
    <n v="13.19"/>
    <d v="2023-04-10T00:00:00"/>
    <d v="2023-04-20T00:00:00"/>
    <x v="4"/>
  </r>
  <r>
    <x v="560"/>
    <x v="2"/>
    <x v="6"/>
    <n v="19"/>
    <n v="219.7"/>
    <x v="1"/>
    <x v="1"/>
    <x v="0"/>
    <x v="1"/>
    <n v="4174.3"/>
    <x v="4"/>
    <x v="0"/>
    <n v="0"/>
    <s v="REG101296"/>
    <s v="Cust 9365"/>
    <n v="15.38"/>
    <d v="2024-01-10T00:00:00"/>
    <d v="2024-01-16T00:00:00"/>
    <x v="2"/>
  </r>
  <r>
    <x v="347"/>
    <x v="1"/>
    <x v="1"/>
    <n v="6"/>
    <n v="94.34"/>
    <x v="2"/>
    <x v="1"/>
    <x v="3"/>
    <x v="1"/>
    <n v="537.73799999999994"/>
    <x v="4"/>
    <x v="2"/>
    <n v="1"/>
    <s v="REG101297"/>
    <s v="Cust 1392"/>
    <n v="49.26"/>
    <d v="2025-05-17T00:00:00"/>
    <d v="2025-05-23T00:00:00"/>
    <x v="1"/>
  </r>
  <r>
    <x v="698"/>
    <x v="3"/>
    <x v="0"/>
    <n v="9"/>
    <n v="486.58"/>
    <x v="1"/>
    <x v="1"/>
    <x v="2"/>
    <x v="1"/>
    <n v="3722.337"/>
    <x v="0"/>
    <x v="0"/>
    <n v="0"/>
    <s v="REG101298"/>
    <s v="Cust 3474"/>
    <n v="38.72"/>
    <d v="2024-07-26T00:00:00"/>
    <d v="2024-07-30T00:00:00"/>
    <x v="3"/>
  </r>
  <r>
    <x v="215"/>
    <x v="1"/>
    <x v="2"/>
    <n v="12"/>
    <n v="578.86"/>
    <x v="3"/>
    <x v="1"/>
    <x v="2"/>
    <x v="2"/>
    <n v="5904.3719999999994"/>
    <x v="4"/>
    <x v="0"/>
    <n v="0"/>
    <s v="REG101299"/>
    <s v="Cust 2111"/>
    <n v="25.84"/>
    <d v="2024-12-26T00:00:00"/>
    <d v="2025-01-03T00:00:00"/>
    <x v="1"/>
  </r>
  <r>
    <x v="187"/>
    <x v="0"/>
    <x v="5"/>
    <n v="7"/>
    <n v="196.88"/>
    <x v="2"/>
    <x v="1"/>
    <x v="0"/>
    <x v="4"/>
    <n v="1378.16"/>
    <x v="3"/>
    <x v="1"/>
    <n v="0"/>
    <s v="REG101300"/>
    <s v="Cust 9506"/>
    <n v="44.92"/>
    <d v="2025-01-23T00:00:00"/>
    <d v="2025-01-31T00:00:00"/>
    <x v="0"/>
  </r>
  <r>
    <x v="699"/>
    <x v="1"/>
    <x v="1"/>
    <n v="7"/>
    <n v="446.32"/>
    <x v="0"/>
    <x v="0"/>
    <x v="1"/>
    <x v="1"/>
    <n v="2811.8159999999998"/>
    <x v="3"/>
    <x v="3"/>
    <n v="0"/>
    <s v="REG101301"/>
    <s v="Cust 2341"/>
    <n v="47.23"/>
    <d v="2024-03-25T00:00:00"/>
    <d v="2024-04-01T00:00:00"/>
    <x v="1"/>
  </r>
  <r>
    <x v="155"/>
    <x v="3"/>
    <x v="5"/>
    <n v="11"/>
    <n v="447.38"/>
    <x v="3"/>
    <x v="0"/>
    <x v="0"/>
    <x v="1"/>
    <n v="4921.18"/>
    <x v="1"/>
    <x v="1"/>
    <n v="0"/>
    <s v="REG101302"/>
    <s v="Cust 7035"/>
    <n v="36.72"/>
    <d v="2025-03-04T00:00:00"/>
    <d v="2025-03-11T00:00:00"/>
    <x v="3"/>
  </r>
  <r>
    <x v="700"/>
    <x v="1"/>
    <x v="2"/>
    <n v="14"/>
    <n v="275.33999999999997"/>
    <x v="0"/>
    <x v="1"/>
    <x v="1"/>
    <x v="3"/>
    <n v="3469.2840000000001"/>
    <x v="0"/>
    <x v="3"/>
    <n v="1"/>
    <s v="REG101303"/>
    <s v="Cust 5935"/>
    <n v="32.799999999999997"/>
    <d v="2023-10-20T00:00:00"/>
    <d v="2023-10-24T00:00:00"/>
    <x v="1"/>
  </r>
  <r>
    <x v="701"/>
    <x v="3"/>
    <x v="2"/>
    <n v="2"/>
    <n v="27.64"/>
    <x v="0"/>
    <x v="1"/>
    <x v="2"/>
    <x v="2"/>
    <n v="46.988"/>
    <x v="2"/>
    <x v="0"/>
    <n v="0"/>
    <s v="REG101304"/>
    <s v="Cust 3291"/>
    <n v="21.73"/>
    <d v="2024-09-19T00:00:00"/>
    <d v="2024-09-28T00:00:00"/>
    <x v="3"/>
  </r>
  <r>
    <x v="584"/>
    <x v="2"/>
    <x v="4"/>
    <n v="17"/>
    <n v="439.3"/>
    <x v="0"/>
    <x v="1"/>
    <x v="0"/>
    <x v="2"/>
    <n v="7468.1"/>
    <x v="0"/>
    <x v="0"/>
    <n v="0"/>
    <s v="REG101305"/>
    <s v="Cust 5258"/>
    <n v="12.87"/>
    <d v="2023-09-23T00:00:00"/>
    <d v="2023-09-26T00:00:00"/>
    <x v="2"/>
  </r>
  <r>
    <x v="702"/>
    <x v="0"/>
    <x v="6"/>
    <n v="15"/>
    <n v="573.80999999999995"/>
    <x v="2"/>
    <x v="1"/>
    <x v="0"/>
    <x v="1"/>
    <n v="8607.15"/>
    <x v="1"/>
    <x v="1"/>
    <n v="0"/>
    <s v="REG101306"/>
    <s v="Cust 4715"/>
    <n v="35.869999999999997"/>
    <d v="2024-12-31T00:00:00"/>
    <d v="2025-01-02T00:00:00"/>
    <x v="0"/>
  </r>
  <r>
    <x v="145"/>
    <x v="2"/>
    <x v="2"/>
    <n v="19"/>
    <n v="360.06"/>
    <x v="2"/>
    <x v="0"/>
    <x v="3"/>
    <x v="0"/>
    <n v="6499.0829999999996"/>
    <x v="3"/>
    <x v="0"/>
    <n v="0"/>
    <s v="REG101307"/>
    <s v="Cust 3106"/>
    <n v="33.19"/>
    <d v="2024-01-23T00:00:00"/>
    <d v="2024-01-31T00:00:00"/>
    <x v="2"/>
  </r>
  <r>
    <x v="343"/>
    <x v="0"/>
    <x v="0"/>
    <n v="7"/>
    <n v="535.20000000000005"/>
    <x v="2"/>
    <x v="1"/>
    <x v="1"/>
    <x v="2"/>
    <n v="3371.7600000000011"/>
    <x v="3"/>
    <x v="3"/>
    <n v="0"/>
    <s v="REG101308"/>
    <s v="Cust 9606"/>
    <n v="10.44"/>
    <d v="2023-06-13T00:00:00"/>
    <d v="2023-06-23T00:00:00"/>
    <x v="0"/>
  </r>
  <r>
    <x v="430"/>
    <x v="0"/>
    <x v="3"/>
    <n v="19"/>
    <n v="161.13"/>
    <x v="1"/>
    <x v="0"/>
    <x v="0"/>
    <x v="4"/>
    <n v="3061.47"/>
    <x v="2"/>
    <x v="0"/>
    <n v="0"/>
    <s v="REG101309"/>
    <s v="Cust 9182"/>
    <n v="5.46"/>
    <d v="2023-07-01T00:00:00"/>
    <d v="2023-07-06T00:00:00"/>
    <x v="0"/>
  </r>
  <r>
    <x v="61"/>
    <x v="1"/>
    <x v="0"/>
    <n v="11"/>
    <n v="29.6"/>
    <x v="3"/>
    <x v="1"/>
    <x v="2"/>
    <x v="3"/>
    <n v="276.76"/>
    <x v="4"/>
    <x v="0"/>
    <n v="1"/>
    <s v="REG101310"/>
    <s v="Cust 6299"/>
    <n v="34.96"/>
    <d v="2025-03-22T00:00:00"/>
    <d v="2025-03-25T00:00:00"/>
    <x v="1"/>
  </r>
  <r>
    <x v="439"/>
    <x v="1"/>
    <x v="0"/>
    <n v="16"/>
    <n v="172.89"/>
    <x v="0"/>
    <x v="0"/>
    <x v="2"/>
    <x v="4"/>
    <n v="2351.3040000000001"/>
    <x v="2"/>
    <x v="0"/>
    <n v="1"/>
    <s v="REG101311"/>
    <s v="Cust 9628"/>
    <n v="41.87"/>
    <d v="2025-02-07T00:00:00"/>
    <d v="2025-02-15T00:00:00"/>
    <x v="1"/>
  </r>
  <r>
    <x v="90"/>
    <x v="2"/>
    <x v="1"/>
    <n v="5"/>
    <n v="48.06"/>
    <x v="1"/>
    <x v="0"/>
    <x v="0"/>
    <x v="1"/>
    <n v="240.3"/>
    <x v="1"/>
    <x v="0"/>
    <n v="0"/>
    <s v="REG101312"/>
    <s v="Cust 3831"/>
    <n v="19.170000000000002"/>
    <d v="2023-10-18T00:00:00"/>
    <d v="2023-10-26T00:00:00"/>
    <x v="2"/>
  </r>
  <r>
    <x v="78"/>
    <x v="3"/>
    <x v="2"/>
    <n v="7"/>
    <n v="55.76"/>
    <x v="2"/>
    <x v="0"/>
    <x v="1"/>
    <x v="1"/>
    <n v="351.28800000000001"/>
    <x v="0"/>
    <x v="3"/>
    <n v="0"/>
    <s v="REG101313"/>
    <s v="Cust 7955"/>
    <n v="38.979999999999997"/>
    <d v="2024-01-02T00:00:00"/>
    <d v="2024-01-11T00:00:00"/>
    <x v="3"/>
  </r>
  <r>
    <x v="251"/>
    <x v="1"/>
    <x v="0"/>
    <n v="4"/>
    <n v="24.58"/>
    <x v="0"/>
    <x v="0"/>
    <x v="2"/>
    <x v="3"/>
    <n v="83.571999999999989"/>
    <x v="3"/>
    <x v="2"/>
    <n v="0"/>
    <s v="REG101314"/>
    <s v="Cust 3939"/>
    <n v="39.869999999999997"/>
    <d v="2025-03-08T00:00:00"/>
    <d v="2025-03-17T00:00:00"/>
    <x v="1"/>
  </r>
  <r>
    <x v="318"/>
    <x v="4"/>
    <x v="2"/>
    <n v="2"/>
    <n v="504.82"/>
    <x v="3"/>
    <x v="1"/>
    <x v="0"/>
    <x v="3"/>
    <n v="1009.64"/>
    <x v="3"/>
    <x v="0"/>
    <n v="0"/>
    <s v="REG101315"/>
    <s v="Cust 7916"/>
    <n v="25.54"/>
    <d v="2023-07-03T00:00:00"/>
    <d v="2023-07-08T00:00:00"/>
    <x v="4"/>
  </r>
  <r>
    <x v="703"/>
    <x v="2"/>
    <x v="5"/>
    <n v="17"/>
    <n v="275.89"/>
    <x v="0"/>
    <x v="0"/>
    <x v="1"/>
    <x v="5"/>
    <n v="4221.1170000000002"/>
    <x v="1"/>
    <x v="0"/>
    <n v="0"/>
    <s v="REG101316"/>
    <s v="Cust 2477"/>
    <n v="15.43"/>
    <d v="2023-11-15T00:00:00"/>
    <d v="2023-11-22T00:00:00"/>
    <x v="2"/>
  </r>
  <r>
    <x v="672"/>
    <x v="4"/>
    <x v="2"/>
    <n v="9"/>
    <n v="130.57"/>
    <x v="2"/>
    <x v="0"/>
    <x v="1"/>
    <x v="0"/>
    <n v="1057.617"/>
    <x v="4"/>
    <x v="2"/>
    <n v="0"/>
    <s v="REG101317"/>
    <s v="Cust 3781"/>
    <n v="37.14"/>
    <d v="2024-02-10T00:00:00"/>
    <d v="2024-02-17T00:00:00"/>
    <x v="4"/>
  </r>
  <r>
    <x v="320"/>
    <x v="4"/>
    <x v="4"/>
    <n v="12"/>
    <n v="312.72000000000003"/>
    <x v="2"/>
    <x v="1"/>
    <x v="0"/>
    <x v="0"/>
    <n v="3752.64"/>
    <x v="1"/>
    <x v="3"/>
    <n v="0"/>
    <s v="REG101318"/>
    <s v="Cust 2641"/>
    <n v="18.46"/>
    <d v="2025-04-09T00:00:00"/>
    <d v="2025-04-19T00:00:00"/>
    <x v="4"/>
  </r>
  <r>
    <x v="507"/>
    <x v="4"/>
    <x v="5"/>
    <n v="18"/>
    <n v="222.66"/>
    <x v="2"/>
    <x v="0"/>
    <x v="3"/>
    <x v="1"/>
    <n v="3807.4859999999999"/>
    <x v="1"/>
    <x v="1"/>
    <n v="0"/>
    <s v="REG101319"/>
    <s v="Cust 1969"/>
    <n v="12.91"/>
    <d v="2023-09-09T00:00:00"/>
    <d v="2023-09-12T00:00:00"/>
    <x v="4"/>
  </r>
  <r>
    <x v="127"/>
    <x v="0"/>
    <x v="1"/>
    <n v="13"/>
    <n v="374.05"/>
    <x v="3"/>
    <x v="0"/>
    <x v="3"/>
    <x v="4"/>
    <n v="4619.5174999999999"/>
    <x v="3"/>
    <x v="0"/>
    <n v="0"/>
    <s v="REG101320"/>
    <s v="Cust 4494"/>
    <n v="26.32"/>
    <d v="2023-03-19T00:00:00"/>
    <d v="2023-03-26T00:00:00"/>
    <x v="0"/>
  </r>
  <r>
    <x v="702"/>
    <x v="3"/>
    <x v="6"/>
    <n v="11"/>
    <n v="331.29"/>
    <x v="0"/>
    <x v="0"/>
    <x v="1"/>
    <x v="1"/>
    <n v="3279.7710000000002"/>
    <x v="2"/>
    <x v="2"/>
    <n v="0"/>
    <s v="REG101321"/>
    <s v="Cust 8850"/>
    <n v="6.22"/>
    <d v="2024-12-31T00:00:00"/>
    <d v="2025-01-02T00:00:00"/>
    <x v="3"/>
  </r>
  <r>
    <x v="704"/>
    <x v="3"/>
    <x v="1"/>
    <n v="5"/>
    <n v="533.52"/>
    <x v="3"/>
    <x v="0"/>
    <x v="0"/>
    <x v="3"/>
    <n v="2667.6"/>
    <x v="2"/>
    <x v="0"/>
    <n v="1"/>
    <s v="REG101322"/>
    <s v="Cust 3061"/>
    <n v="9.08"/>
    <d v="2023-11-24T00:00:00"/>
    <d v="2023-11-26T00:00:00"/>
    <x v="3"/>
  </r>
  <r>
    <x v="705"/>
    <x v="0"/>
    <x v="3"/>
    <n v="10"/>
    <n v="492.24"/>
    <x v="1"/>
    <x v="1"/>
    <x v="0"/>
    <x v="1"/>
    <n v="4922.3999999999996"/>
    <x v="1"/>
    <x v="2"/>
    <n v="0"/>
    <s v="REG101323"/>
    <s v="Cust 4732"/>
    <n v="38.89"/>
    <d v="2025-05-15T00:00:00"/>
    <d v="2025-05-22T00:00:00"/>
    <x v="0"/>
  </r>
  <r>
    <x v="575"/>
    <x v="1"/>
    <x v="5"/>
    <n v="9"/>
    <n v="543.57000000000005"/>
    <x v="3"/>
    <x v="1"/>
    <x v="2"/>
    <x v="4"/>
    <n v="4158.3104999999996"/>
    <x v="3"/>
    <x v="1"/>
    <n v="0"/>
    <s v="REG101324"/>
    <s v="Cust 9889"/>
    <n v="7.54"/>
    <d v="2025-04-06T00:00:00"/>
    <d v="2025-04-11T00:00:00"/>
    <x v="1"/>
  </r>
  <r>
    <x v="706"/>
    <x v="1"/>
    <x v="2"/>
    <n v="17"/>
    <n v="141.76"/>
    <x v="3"/>
    <x v="0"/>
    <x v="1"/>
    <x v="5"/>
    <n v="2168.9279999999999"/>
    <x v="4"/>
    <x v="2"/>
    <n v="1"/>
    <s v="REG101325"/>
    <s v="Cust 2165"/>
    <n v="9.98"/>
    <d v="2024-02-06T00:00:00"/>
    <d v="2024-02-14T00:00:00"/>
    <x v="1"/>
  </r>
  <r>
    <x v="707"/>
    <x v="2"/>
    <x v="0"/>
    <n v="12"/>
    <n v="502.7"/>
    <x v="3"/>
    <x v="0"/>
    <x v="1"/>
    <x v="1"/>
    <n v="5429.16"/>
    <x v="2"/>
    <x v="0"/>
    <n v="0"/>
    <s v="REG101326"/>
    <s v="Cust 6121"/>
    <n v="6.49"/>
    <d v="2025-05-14T00:00:00"/>
    <d v="2025-05-20T00:00:00"/>
    <x v="2"/>
  </r>
  <r>
    <x v="322"/>
    <x v="0"/>
    <x v="5"/>
    <n v="10"/>
    <n v="155.43"/>
    <x v="3"/>
    <x v="0"/>
    <x v="3"/>
    <x v="2"/>
    <n v="1476.585"/>
    <x v="1"/>
    <x v="2"/>
    <n v="0"/>
    <s v="REG101327"/>
    <s v="Cust 4071"/>
    <n v="26.49"/>
    <d v="2023-01-13T00:00:00"/>
    <d v="2023-01-18T00:00:00"/>
    <x v="0"/>
  </r>
  <r>
    <x v="708"/>
    <x v="2"/>
    <x v="5"/>
    <n v="18"/>
    <n v="203.73"/>
    <x v="0"/>
    <x v="0"/>
    <x v="0"/>
    <x v="3"/>
    <n v="3667.14"/>
    <x v="1"/>
    <x v="1"/>
    <n v="1"/>
    <s v="REG101328"/>
    <s v="Cust 5249"/>
    <n v="24.98"/>
    <d v="2024-02-19T00:00:00"/>
    <d v="2024-02-28T00:00:00"/>
    <x v="2"/>
  </r>
  <r>
    <x v="444"/>
    <x v="1"/>
    <x v="1"/>
    <n v="3"/>
    <n v="464.11"/>
    <x v="0"/>
    <x v="0"/>
    <x v="2"/>
    <x v="1"/>
    <n v="1183.4804999999999"/>
    <x v="1"/>
    <x v="3"/>
    <n v="0"/>
    <s v="REG101329"/>
    <s v="Cust 4262"/>
    <n v="27.45"/>
    <d v="2023-10-07T00:00:00"/>
    <d v="2023-10-12T00:00:00"/>
    <x v="1"/>
  </r>
  <r>
    <x v="457"/>
    <x v="3"/>
    <x v="3"/>
    <n v="2"/>
    <n v="442.03"/>
    <x v="0"/>
    <x v="1"/>
    <x v="2"/>
    <x v="3"/>
    <n v="751.45099999999991"/>
    <x v="3"/>
    <x v="2"/>
    <n v="0"/>
    <s v="REG101330"/>
    <s v="Cust 9314"/>
    <n v="28.71"/>
    <d v="2024-09-17T00:00:00"/>
    <d v="2024-09-19T00:00:00"/>
    <x v="3"/>
  </r>
  <r>
    <x v="709"/>
    <x v="2"/>
    <x v="1"/>
    <n v="7"/>
    <n v="82.91"/>
    <x v="1"/>
    <x v="1"/>
    <x v="3"/>
    <x v="0"/>
    <n v="551.35149999999999"/>
    <x v="3"/>
    <x v="2"/>
    <n v="1"/>
    <s v="REG101331"/>
    <s v="Cust 7703"/>
    <n v="17.03"/>
    <d v="2023-05-07T00:00:00"/>
    <d v="2023-05-17T00:00:00"/>
    <x v="2"/>
  </r>
  <r>
    <x v="289"/>
    <x v="2"/>
    <x v="1"/>
    <n v="13"/>
    <n v="468.16"/>
    <x v="0"/>
    <x v="1"/>
    <x v="2"/>
    <x v="1"/>
    <n v="5173.1679999999997"/>
    <x v="4"/>
    <x v="1"/>
    <n v="0"/>
    <s v="REG101332"/>
    <s v="Cust 8367"/>
    <n v="29.11"/>
    <d v="2023-12-12T00:00:00"/>
    <d v="2023-12-21T00:00:00"/>
    <x v="2"/>
  </r>
  <r>
    <x v="402"/>
    <x v="3"/>
    <x v="5"/>
    <n v="3"/>
    <n v="11.32"/>
    <x v="2"/>
    <x v="1"/>
    <x v="3"/>
    <x v="0"/>
    <n v="32.262"/>
    <x v="0"/>
    <x v="2"/>
    <n v="0"/>
    <s v="REG101333"/>
    <s v="Cust 7872"/>
    <n v="16.39"/>
    <d v="2025-03-11T00:00:00"/>
    <d v="2025-03-14T00:00:00"/>
    <x v="3"/>
  </r>
  <r>
    <x v="604"/>
    <x v="0"/>
    <x v="3"/>
    <n v="1"/>
    <n v="378.36"/>
    <x v="1"/>
    <x v="1"/>
    <x v="3"/>
    <x v="0"/>
    <n v="359.44200000000001"/>
    <x v="4"/>
    <x v="3"/>
    <n v="0"/>
    <s v="REG101334"/>
    <s v="Cust 4732"/>
    <n v="7.59"/>
    <d v="2024-03-29T00:00:00"/>
    <d v="2024-04-07T00:00:00"/>
    <x v="0"/>
  </r>
  <r>
    <x v="710"/>
    <x v="4"/>
    <x v="5"/>
    <n v="6"/>
    <n v="61.06"/>
    <x v="3"/>
    <x v="0"/>
    <x v="0"/>
    <x v="5"/>
    <n v="366.36"/>
    <x v="3"/>
    <x v="1"/>
    <n v="1"/>
    <s v="REG101335"/>
    <s v="Cust 1007"/>
    <n v="49.09"/>
    <d v="2024-07-28T00:00:00"/>
    <d v="2024-08-05T00:00:00"/>
    <x v="4"/>
  </r>
  <r>
    <x v="156"/>
    <x v="1"/>
    <x v="5"/>
    <n v="14"/>
    <n v="98.06"/>
    <x v="1"/>
    <x v="0"/>
    <x v="1"/>
    <x v="1"/>
    <n v="1235.556"/>
    <x v="3"/>
    <x v="1"/>
    <n v="1"/>
    <s v="REG101336"/>
    <s v="Cust 1946"/>
    <n v="10.34"/>
    <d v="2024-07-11T00:00:00"/>
    <d v="2024-07-21T00:00:00"/>
    <x v="1"/>
  </r>
  <r>
    <x v="711"/>
    <x v="4"/>
    <x v="0"/>
    <n v="16"/>
    <n v="123.86"/>
    <x v="1"/>
    <x v="0"/>
    <x v="2"/>
    <x v="1"/>
    <n v="1684.4960000000001"/>
    <x v="1"/>
    <x v="3"/>
    <n v="1"/>
    <s v="REG101337"/>
    <s v="Cust 6347"/>
    <n v="18.02"/>
    <d v="2024-07-05T00:00:00"/>
    <d v="2024-07-14T00:00:00"/>
    <x v="4"/>
  </r>
  <r>
    <x v="422"/>
    <x v="0"/>
    <x v="0"/>
    <n v="16"/>
    <n v="90.3"/>
    <x v="2"/>
    <x v="0"/>
    <x v="3"/>
    <x v="4"/>
    <n v="1372.56"/>
    <x v="0"/>
    <x v="2"/>
    <n v="0"/>
    <s v="REG101338"/>
    <s v="Cust 6499"/>
    <n v="25.25"/>
    <d v="2024-03-19T00:00:00"/>
    <d v="2024-03-24T00:00:00"/>
    <x v="0"/>
  </r>
  <r>
    <x v="486"/>
    <x v="3"/>
    <x v="5"/>
    <n v="18"/>
    <n v="470.91"/>
    <x v="2"/>
    <x v="0"/>
    <x v="1"/>
    <x v="0"/>
    <n v="7628.7420000000011"/>
    <x v="1"/>
    <x v="0"/>
    <n v="0"/>
    <s v="REG101339"/>
    <s v="Cust 1420"/>
    <n v="14.87"/>
    <d v="2023-12-25T00:00:00"/>
    <d v="2023-12-29T00:00:00"/>
    <x v="3"/>
  </r>
  <r>
    <x v="581"/>
    <x v="1"/>
    <x v="4"/>
    <n v="12"/>
    <n v="383.45"/>
    <x v="2"/>
    <x v="1"/>
    <x v="0"/>
    <x v="5"/>
    <n v="4601.3999999999996"/>
    <x v="3"/>
    <x v="0"/>
    <n v="0"/>
    <s v="REG101340"/>
    <s v="Cust 6744"/>
    <n v="11.62"/>
    <d v="2024-12-03T00:00:00"/>
    <d v="2024-12-05T00:00:00"/>
    <x v="1"/>
  </r>
  <r>
    <x v="247"/>
    <x v="0"/>
    <x v="5"/>
    <n v="20"/>
    <n v="293.94"/>
    <x v="0"/>
    <x v="1"/>
    <x v="2"/>
    <x v="1"/>
    <n v="4996.9799999999996"/>
    <x v="2"/>
    <x v="1"/>
    <n v="0"/>
    <s v="REG101341"/>
    <s v="Cust 5690"/>
    <n v="9.2899999999999991"/>
    <d v="2023-09-08T00:00:00"/>
    <d v="2023-09-15T00:00:00"/>
    <x v="0"/>
  </r>
  <r>
    <x v="52"/>
    <x v="0"/>
    <x v="2"/>
    <n v="2"/>
    <n v="454.01"/>
    <x v="0"/>
    <x v="0"/>
    <x v="0"/>
    <x v="4"/>
    <n v="908.02"/>
    <x v="0"/>
    <x v="2"/>
    <n v="0"/>
    <s v="REG101342"/>
    <s v="Cust 1265"/>
    <n v="9.7799999999999994"/>
    <d v="2024-01-05T00:00:00"/>
    <d v="2024-01-07T00:00:00"/>
    <x v="0"/>
  </r>
  <r>
    <x v="712"/>
    <x v="1"/>
    <x v="3"/>
    <n v="5"/>
    <n v="163.55000000000001"/>
    <x v="3"/>
    <x v="1"/>
    <x v="3"/>
    <x v="2"/>
    <n v="776.86249999999995"/>
    <x v="4"/>
    <x v="3"/>
    <n v="0"/>
    <s v="REG101343"/>
    <s v="Cust 7676"/>
    <n v="28.9"/>
    <d v="2023-08-03T00:00:00"/>
    <d v="2023-08-10T00:00:00"/>
    <x v="1"/>
  </r>
  <r>
    <x v="668"/>
    <x v="2"/>
    <x v="4"/>
    <n v="12"/>
    <n v="141.61000000000001"/>
    <x v="0"/>
    <x v="0"/>
    <x v="0"/>
    <x v="2"/>
    <n v="1699.32"/>
    <x v="2"/>
    <x v="2"/>
    <n v="0"/>
    <s v="REG101344"/>
    <s v="Cust 4442"/>
    <n v="11.72"/>
    <d v="2025-02-11T00:00:00"/>
    <d v="2025-02-21T00:00:00"/>
    <x v="2"/>
  </r>
  <r>
    <x v="357"/>
    <x v="1"/>
    <x v="3"/>
    <n v="6"/>
    <n v="332.18"/>
    <x v="0"/>
    <x v="0"/>
    <x v="1"/>
    <x v="5"/>
    <n v="1793.7719999999999"/>
    <x v="0"/>
    <x v="2"/>
    <n v="0"/>
    <s v="REG101345"/>
    <s v="Cust 2975"/>
    <n v="21.95"/>
    <d v="2023-06-17T00:00:00"/>
    <d v="2023-06-21T00:00:00"/>
    <x v="1"/>
  </r>
  <r>
    <x v="713"/>
    <x v="3"/>
    <x v="4"/>
    <n v="14"/>
    <n v="463.96"/>
    <x v="3"/>
    <x v="1"/>
    <x v="2"/>
    <x v="4"/>
    <n v="5521.1239999999998"/>
    <x v="1"/>
    <x v="3"/>
    <n v="0"/>
    <s v="REG101346"/>
    <s v="Cust 7832"/>
    <n v="29.19"/>
    <d v="2024-02-05T00:00:00"/>
    <d v="2024-02-14T00:00:00"/>
    <x v="3"/>
  </r>
  <r>
    <x v="138"/>
    <x v="1"/>
    <x v="2"/>
    <n v="10"/>
    <n v="68.27"/>
    <x v="1"/>
    <x v="0"/>
    <x v="2"/>
    <x v="4"/>
    <n v="580.29499999999996"/>
    <x v="2"/>
    <x v="3"/>
    <n v="0"/>
    <s v="REG101347"/>
    <s v="Cust 7753"/>
    <n v="24.33"/>
    <d v="2024-03-17T00:00:00"/>
    <d v="2024-03-27T00:00:00"/>
    <x v="1"/>
  </r>
  <r>
    <x v="490"/>
    <x v="3"/>
    <x v="0"/>
    <n v="8"/>
    <n v="27.01"/>
    <x v="2"/>
    <x v="0"/>
    <x v="3"/>
    <x v="0"/>
    <n v="205.27600000000001"/>
    <x v="0"/>
    <x v="0"/>
    <n v="1"/>
    <s v="REG101348"/>
    <s v="Cust 8639"/>
    <n v="42.65"/>
    <d v="2024-02-03T00:00:00"/>
    <d v="2024-02-09T00:00:00"/>
    <x v="3"/>
  </r>
  <r>
    <x v="714"/>
    <x v="2"/>
    <x v="5"/>
    <n v="9"/>
    <n v="78.8"/>
    <x v="3"/>
    <x v="1"/>
    <x v="1"/>
    <x v="1"/>
    <n v="638.28"/>
    <x v="0"/>
    <x v="0"/>
    <n v="0"/>
    <s v="REG101349"/>
    <s v="Cust 9878"/>
    <n v="9.2899999999999991"/>
    <d v="2023-03-31T00:00:00"/>
    <d v="2023-04-10T00:00:00"/>
    <x v="2"/>
  </r>
  <r>
    <x v="715"/>
    <x v="4"/>
    <x v="5"/>
    <n v="16"/>
    <n v="174.68"/>
    <x v="0"/>
    <x v="0"/>
    <x v="2"/>
    <x v="2"/>
    <n v="2375.6480000000001"/>
    <x v="2"/>
    <x v="3"/>
    <n v="0"/>
    <s v="REG101350"/>
    <s v="Cust 4205"/>
    <n v="45.99"/>
    <d v="2023-08-18T00:00:00"/>
    <d v="2023-08-22T00:00:00"/>
    <x v="4"/>
  </r>
  <r>
    <x v="354"/>
    <x v="3"/>
    <x v="6"/>
    <n v="4"/>
    <n v="306.06"/>
    <x v="2"/>
    <x v="0"/>
    <x v="3"/>
    <x v="3"/>
    <n v="1163.028"/>
    <x v="1"/>
    <x v="1"/>
    <n v="1"/>
    <s v="REG101351"/>
    <s v="Cust 4009"/>
    <n v="32.75"/>
    <d v="2023-09-10T00:00:00"/>
    <d v="2023-09-13T00:00:00"/>
    <x v="3"/>
  </r>
  <r>
    <x v="282"/>
    <x v="1"/>
    <x v="5"/>
    <n v="12"/>
    <n v="164.22"/>
    <x v="2"/>
    <x v="1"/>
    <x v="0"/>
    <x v="5"/>
    <n v="1970.64"/>
    <x v="2"/>
    <x v="0"/>
    <n v="0"/>
    <s v="REG101352"/>
    <s v="Cust 6499"/>
    <n v="21.46"/>
    <d v="2024-01-29T00:00:00"/>
    <d v="2024-02-03T00:00:00"/>
    <x v="1"/>
  </r>
  <r>
    <x v="58"/>
    <x v="2"/>
    <x v="5"/>
    <n v="20"/>
    <n v="336.29"/>
    <x v="2"/>
    <x v="1"/>
    <x v="0"/>
    <x v="0"/>
    <n v="6725.8"/>
    <x v="1"/>
    <x v="0"/>
    <n v="0"/>
    <s v="REG101353"/>
    <s v="Cust 4389"/>
    <n v="25.02"/>
    <d v="2024-03-21T00:00:00"/>
    <d v="2024-03-30T00:00:00"/>
    <x v="2"/>
  </r>
  <r>
    <x v="716"/>
    <x v="4"/>
    <x v="5"/>
    <n v="7"/>
    <n v="180.25"/>
    <x v="3"/>
    <x v="1"/>
    <x v="1"/>
    <x v="4"/>
    <n v="1135.575"/>
    <x v="1"/>
    <x v="2"/>
    <n v="0"/>
    <s v="REG101354"/>
    <s v="Cust 2008"/>
    <n v="36.79"/>
    <d v="2024-08-03T00:00:00"/>
    <d v="2024-08-05T00:00:00"/>
    <x v="4"/>
  </r>
  <r>
    <x v="500"/>
    <x v="2"/>
    <x v="4"/>
    <n v="1"/>
    <n v="21.75"/>
    <x v="2"/>
    <x v="1"/>
    <x v="0"/>
    <x v="1"/>
    <n v="21.75"/>
    <x v="4"/>
    <x v="0"/>
    <n v="0"/>
    <s v="REG101355"/>
    <s v="Cust 6509"/>
    <n v="7.35"/>
    <d v="2025-05-05T00:00:00"/>
    <d v="2025-05-14T00:00:00"/>
    <x v="2"/>
  </r>
  <r>
    <x v="162"/>
    <x v="4"/>
    <x v="5"/>
    <n v="13"/>
    <n v="149.16"/>
    <x v="2"/>
    <x v="1"/>
    <x v="1"/>
    <x v="0"/>
    <n v="1745.172"/>
    <x v="4"/>
    <x v="3"/>
    <n v="1"/>
    <s v="REG101356"/>
    <s v="Cust 4270"/>
    <n v="20.9"/>
    <d v="2023-02-08T00:00:00"/>
    <d v="2023-02-16T00:00:00"/>
    <x v="4"/>
  </r>
  <r>
    <x v="717"/>
    <x v="3"/>
    <x v="3"/>
    <n v="7"/>
    <n v="220.9"/>
    <x v="1"/>
    <x v="0"/>
    <x v="2"/>
    <x v="5"/>
    <n v="1314.355"/>
    <x v="1"/>
    <x v="0"/>
    <n v="0"/>
    <s v="REG101357"/>
    <s v="Cust 4414"/>
    <n v="15.25"/>
    <d v="2023-05-26T00:00:00"/>
    <d v="2023-06-05T00:00:00"/>
    <x v="3"/>
  </r>
  <r>
    <x v="236"/>
    <x v="0"/>
    <x v="3"/>
    <n v="1"/>
    <n v="364.27"/>
    <x v="1"/>
    <x v="1"/>
    <x v="1"/>
    <x v="1"/>
    <n v="327.84300000000002"/>
    <x v="3"/>
    <x v="2"/>
    <n v="0"/>
    <s v="REG101358"/>
    <s v="Cust 6409"/>
    <n v="8.91"/>
    <d v="2024-07-15T00:00:00"/>
    <d v="2024-07-22T00:00:00"/>
    <x v="0"/>
  </r>
  <r>
    <x v="227"/>
    <x v="2"/>
    <x v="4"/>
    <n v="9"/>
    <n v="306.42"/>
    <x v="2"/>
    <x v="0"/>
    <x v="0"/>
    <x v="5"/>
    <n v="2757.78"/>
    <x v="0"/>
    <x v="3"/>
    <n v="0"/>
    <s v="REG101359"/>
    <s v="Cust 1621"/>
    <n v="15.81"/>
    <d v="2024-12-18T00:00:00"/>
    <d v="2024-12-27T00:00:00"/>
    <x v="2"/>
  </r>
  <r>
    <x v="385"/>
    <x v="2"/>
    <x v="5"/>
    <n v="18"/>
    <n v="589"/>
    <x v="0"/>
    <x v="0"/>
    <x v="1"/>
    <x v="4"/>
    <n v="9541.8000000000011"/>
    <x v="4"/>
    <x v="2"/>
    <n v="0"/>
    <s v="REG101360"/>
    <s v="Cust 6790"/>
    <n v="37.78"/>
    <d v="2024-09-29T00:00:00"/>
    <d v="2024-10-08T00:00:00"/>
    <x v="2"/>
  </r>
  <r>
    <x v="718"/>
    <x v="1"/>
    <x v="2"/>
    <n v="16"/>
    <n v="249.45"/>
    <x v="2"/>
    <x v="0"/>
    <x v="1"/>
    <x v="1"/>
    <n v="3592.08"/>
    <x v="4"/>
    <x v="0"/>
    <n v="0"/>
    <s v="REG101361"/>
    <s v="Cust 4045"/>
    <n v="20.92"/>
    <d v="2024-10-25T00:00:00"/>
    <d v="2024-11-01T00:00:00"/>
    <x v="1"/>
  </r>
  <r>
    <x v="428"/>
    <x v="2"/>
    <x v="4"/>
    <n v="20"/>
    <n v="440.32"/>
    <x v="2"/>
    <x v="1"/>
    <x v="3"/>
    <x v="1"/>
    <n v="8366.08"/>
    <x v="3"/>
    <x v="1"/>
    <n v="1"/>
    <s v="REG101362"/>
    <s v="Cust 1258"/>
    <n v="6.17"/>
    <d v="2025-01-06T00:00:00"/>
    <d v="2025-01-16T00:00:00"/>
    <x v="2"/>
  </r>
  <r>
    <x v="86"/>
    <x v="3"/>
    <x v="5"/>
    <n v="3"/>
    <n v="101.34"/>
    <x v="1"/>
    <x v="0"/>
    <x v="0"/>
    <x v="3"/>
    <n v="304.02"/>
    <x v="3"/>
    <x v="3"/>
    <n v="0"/>
    <s v="REG101363"/>
    <s v="Cust 8051"/>
    <n v="23.15"/>
    <d v="2023-11-19T00:00:00"/>
    <d v="2023-11-21T00:00:00"/>
    <x v="3"/>
  </r>
  <r>
    <x v="610"/>
    <x v="1"/>
    <x v="1"/>
    <n v="17"/>
    <n v="311.61"/>
    <x v="1"/>
    <x v="1"/>
    <x v="3"/>
    <x v="0"/>
    <n v="5032.5014999999994"/>
    <x v="0"/>
    <x v="3"/>
    <n v="1"/>
    <s v="REG101364"/>
    <s v="Cust 9371"/>
    <n v="29.9"/>
    <d v="2024-04-11T00:00:00"/>
    <d v="2024-04-17T00:00:00"/>
    <x v="1"/>
  </r>
  <r>
    <x v="719"/>
    <x v="1"/>
    <x v="4"/>
    <n v="2"/>
    <n v="441.18"/>
    <x v="0"/>
    <x v="1"/>
    <x v="2"/>
    <x v="5"/>
    <n v="750.00599999999997"/>
    <x v="4"/>
    <x v="3"/>
    <n v="1"/>
    <s v="REG101365"/>
    <s v="Cust 9881"/>
    <n v="23.07"/>
    <d v="2024-03-30T00:00:00"/>
    <d v="2024-04-06T00:00:00"/>
    <x v="1"/>
  </r>
  <r>
    <x v="681"/>
    <x v="2"/>
    <x v="3"/>
    <n v="20"/>
    <n v="286.66000000000003"/>
    <x v="3"/>
    <x v="1"/>
    <x v="1"/>
    <x v="3"/>
    <n v="5159.880000000001"/>
    <x v="3"/>
    <x v="2"/>
    <n v="0"/>
    <s v="REG101366"/>
    <s v="Cust 2153"/>
    <n v="15.54"/>
    <d v="2024-11-25T00:00:00"/>
    <d v="2024-11-29T00:00:00"/>
    <x v="2"/>
  </r>
  <r>
    <x v="428"/>
    <x v="2"/>
    <x v="6"/>
    <n v="13"/>
    <n v="483.63"/>
    <x v="1"/>
    <x v="1"/>
    <x v="3"/>
    <x v="3"/>
    <n v="5972.8304999999991"/>
    <x v="4"/>
    <x v="0"/>
    <n v="0"/>
    <s v="REG101367"/>
    <s v="Cust 9189"/>
    <n v="18.22"/>
    <d v="2025-01-06T00:00:00"/>
    <d v="2025-01-15T00:00:00"/>
    <x v="2"/>
  </r>
  <r>
    <x v="180"/>
    <x v="4"/>
    <x v="5"/>
    <n v="8"/>
    <n v="304.14999999999998"/>
    <x v="0"/>
    <x v="0"/>
    <x v="3"/>
    <x v="3"/>
    <n v="2311.54"/>
    <x v="3"/>
    <x v="3"/>
    <n v="0"/>
    <s v="REG101368"/>
    <s v="Cust 8802"/>
    <n v="41.73"/>
    <d v="2023-04-15T00:00:00"/>
    <d v="2023-04-18T00:00:00"/>
    <x v="4"/>
  </r>
  <r>
    <x v="451"/>
    <x v="0"/>
    <x v="6"/>
    <n v="10"/>
    <n v="452.21"/>
    <x v="1"/>
    <x v="1"/>
    <x v="1"/>
    <x v="0"/>
    <n v="4069.889999999999"/>
    <x v="4"/>
    <x v="2"/>
    <n v="0"/>
    <s v="REG101369"/>
    <s v="Cust 8707"/>
    <n v="15.87"/>
    <d v="2024-02-07T00:00:00"/>
    <d v="2024-02-17T00:00:00"/>
    <x v="0"/>
  </r>
  <r>
    <x v="720"/>
    <x v="0"/>
    <x v="6"/>
    <n v="4"/>
    <n v="248.16"/>
    <x v="0"/>
    <x v="1"/>
    <x v="1"/>
    <x v="4"/>
    <n v="893.37599999999998"/>
    <x v="2"/>
    <x v="3"/>
    <n v="1"/>
    <s v="REG101370"/>
    <s v="Cust 5638"/>
    <n v="45.11"/>
    <d v="2023-06-02T00:00:00"/>
    <d v="2023-06-05T00:00:00"/>
    <x v="0"/>
  </r>
  <r>
    <x v="648"/>
    <x v="0"/>
    <x v="0"/>
    <n v="4"/>
    <n v="520"/>
    <x v="1"/>
    <x v="1"/>
    <x v="0"/>
    <x v="0"/>
    <n v="2080"/>
    <x v="2"/>
    <x v="2"/>
    <n v="0"/>
    <s v="REG101371"/>
    <s v="Cust 6036"/>
    <n v="18.25"/>
    <d v="2023-08-24T00:00:00"/>
    <d v="2023-09-02T00:00:00"/>
    <x v="0"/>
  </r>
  <r>
    <x v="721"/>
    <x v="1"/>
    <x v="3"/>
    <n v="11"/>
    <n v="571.07000000000005"/>
    <x v="1"/>
    <x v="1"/>
    <x v="0"/>
    <x v="2"/>
    <n v="6281.77"/>
    <x v="1"/>
    <x v="1"/>
    <n v="0"/>
    <s v="REG101372"/>
    <s v="Cust 5504"/>
    <n v="12.6"/>
    <d v="2024-12-06T00:00:00"/>
    <d v="2024-12-11T00:00:00"/>
    <x v="1"/>
  </r>
  <r>
    <x v="437"/>
    <x v="0"/>
    <x v="5"/>
    <n v="11"/>
    <n v="65.569999999999993"/>
    <x v="3"/>
    <x v="1"/>
    <x v="1"/>
    <x v="4"/>
    <n v="649.14300000000003"/>
    <x v="3"/>
    <x v="1"/>
    <n v="1"/>
    <s v="REG101373"/>
    <s v="Cust 1161"/>
    <n v="30.43"/>
    <d v="2023-12-08T00:00:00"/>
    <d v="2023-12-14T00:00:00"/>
    <x v="0"/>
  </r>
  <r>
    <x v="551"/>
    <x v="1"/>
    <x v="5"/>
    <n v="4"/>
    <n v="397.02"/>
    <x v="1"/>
    <x v="0"/>
    <x v="0"/>
    <x v="2"/>
    <n v="1588.08"/>
    <x v="4"/>
    <x v="0"/>
    <n v="0"/>
    <s v="REG101374"/>
    <s v="Cust 5420"/>
    <n v="23.25"/>
    <d v="2023-05-12T00:00:00"/>
    <d v="2023-05-20T00:00:00"/>
    <x v="1"/>
  </r>
  <r>
    <x v="696"/>
    <x v="4"/>
    <x v="0"/>
    <n v="10"/>
    <n v="169.35"/>
    <x v="0"/>
    <x v="1"/>
    <x v="3"/>
    <x v="1"/>
    <n v="1608.825"/>
    <x v="2"/>
    <x v="2"/>
    <n v="0"/>
    <s v="REG101375"/>
    <s v="Cust 7745"/>
    <n v="44.91"/>
    <d v="2025-04-24T00:00:00"/>
    <d v="2025-04-27T00:00:00"/>
    <x v="4"/>
  </r>
  <r>
    <x v="134"/>
    <x v="3"/>
    <x v="5"/>
    <n v="9"/>
    <n v="340.44"/>
    <x v="3"/>
    <x v="1"/>
    <x v="3"/>
    <x v="3"/>
    <n v="2910.7620000000002"/>
    <x v="3"/>
    <x v="0"/>
    <n v="1"/>
    <s v="REG101376"/>
    <s v="Cust 4365"/>
    <n v="36.68"/>
    <d v="2023-04-23T00:00:00"/>
    <d v="2023-05-03T00:00:00"/>
    <x v="3"/>
  </r>
  <r>
    <x v="722"/>
    <x v="2"/>
    <x v="4"/>
    <n v="1"/>
    <n v="120.2"/>
    <x v="3"/>
    <x v="1"/>
    <x v="3"/>
    <x v="3"/>
    <n v="114.19"/>
    <x v="0"/>
    <x v="2"/>
    <n v="0"/>
    <s v="REG101377"/>
    <s v="Cust 3291"/>
    <n v="44.99"/>
    <d v="2023-01-18T00:00:00"/>
    <d v="2023-01-21T00:00:00"/>
    <x v="2"/>
  </r>
  <r>
    <x v="15"/>
    <x v="2"/>
    <x v="1"/>
    <n v="13"/>
    <n v="169.39"/>
    <x v="0"/>
    <x v="0"/>
    <x v="2"/>
    <x v="4"/>
    <n v="1871.7594999999999"/>
    <x v="2"/>
    <x v="3"/>
    <n v="0"/>
    <s v="REG101378"/>
    <s v="Cust 9020"/>
    <n v="6.81"/>
    <d v="2025-05-11T00:00:00"/>
    <d v="2025-05-21T00:00:00"/>
    <x v="2"/>
  </r>
  <r>
    <x v="473"/>
    <x v="4"/>
    <x v="5"/>
    <n v="10"/>
    <n v="170.72"/>
    <x v="1"/>
    <x v="0"/>
    <x v="3"/>
    <x v="2"/>
    <n v="1621.84"/>
    <x v="0"/>
    <x v="0"/>
    <n v="0"/>
    <s v="REG101379"/>
    <s v="Cust 2667"/>
    <n v="29.18"/>
    <d v="2024-12-23T00:00:00"/>
    <d v="2025-01-02T00:00:00"/>
    <x v="4"/>
  </r>
  <r>
    <x v="652"/>
    <x v="4"/>
    <x v="2"/>
    <n v="9"/>
    <n v="323.77"/>
    <x v="1"/>
    <x v="0"/>
    <x v="2"/>
    <x v="3"/>
    <n v="2476.8404999999998"/>
    <x v="3"/>
    <x v="3"/>
    <n v="0"/>
    <s v="REG101380"/>
    <s v="Cust 6158"/>
    <n v="6.36"/>
    <d v="2023-08-20T00:00:00"/>
    <d v="2023-08-28T00:00:00"/>
    <x v="4"/>
  </r>
  <r>
    <x v="213"/>
    <x v="3"/>
    <x v="3"/>
    <n v="4"/>
    <n v="481.86"/>
    <x v="0"/>
    <x v="0"/>
    <x v="0"/>
    <x v="5"/>
    <n v="1927.44"/>
    <x v="0"/>
    <x v="0"/>
    <n v="0"/>
    <s v="REG101381"/>
    <s v="Cust 7404"/>
    <n v="21.92"/>
    <d v="2025-03-18T00:00:00"/>
    <d v="2025-03-23T00:00:00"/>
    <x v="3"/>
  </r>
  <r>
    <x v="436"/>
    <x v="3"/>
    <x v="1"/>
    <n v="4"/>
    <n v="78.05"/>
    <x v="1"/>
    <x v="1"/>
    <x v="0"/>
    <x v="3"/>
    <n v="312.2"/>
    <x v="2"/>
    <x v="3"/>
    <n v="0"/>
    <s v="REG101382"/>
    <s v="Cust 8572"/>
    <n v="14.03"/>
    <d v="2024-01-16T00:00:00"/>
    <d v="2024-01-24T00:00:00"/>
    <x v="3"/>
  </r>
  <r>
    <x v="723"/>
    <x v="0"/>
    <x v="5"/>
    <n v="6"/>
    <n v="57.4"/>
    <x v="2"/>
    <x v="0"/>
    <x v="1"/>
    <x v="0"/>
    <n v="309.95999999999998"/>
    <x v="3"/>
    <x v="0"/>
    <n v="0"/>
    <s v="REG101383"/>
    <s v="Cust 1043"/>
    <n v="26.42"/>
    <d v="2024-05-29T00:00:00"/>
    <d v="2024-06-08T00:00:00"/>
    <x v="0"/>
  </r>
  <r>
    <x v="287"/>
    <x v="1"/>
    <x v="0"/>
    <n v="9"/>
    <n v="454.98"/>
    <x v="0"/>
    <x v="0"/>
    <x v="2"/>
    <x v="0"/>
    <n v="3480.5970000000002"/>
    <x v="2"/>
    <x v="3"/>
    <n v="0"/>
    <s v="REG101384"/>
    <s v="Cust 1766"/>
    <n v="40.76"/>
    <d v="2025-03-25T00:00:00"/>
    <d v="2025-03-27T00:00:00"/>
    <x v="1"/>
  </r>
  <r>
    <x v="61"/>
    <x v="3"/>
    <x v="2"/>
    <n v="11"/>
    <n v="365.75"/>
    <x v="3"/>
    <x v="0"/>
    <x v="3"/>
    <x v="5"/>
    <n v="3822.0875000000001"/>
    <x v="3"/>
    <x v="0"/>
    <n v="1"/>
    <s v="REG101385"/>
    <s v="Cust 4461"/>
    <n v="8.3699999999999992"/>
    <d v="2025-03-22T00:00:00"/>
    <d v="2025-03-27T00:00:00"/>
    <x v="3"/>
  </r>
  <r>
    <x v="157"/>
    <x v="0"/>
    <x v="1"/>
    <n v="7"/>
    <n v="106.88"/>
    <x v="2"/>
    <x v="1"/>
    <x v="3"/>
    <x v="4"/>
    <n v="710.75199999999995"/>
    <x v="4"/>
    <x v="2"/>
    <n v="1"/>
    <s v="REG101386"/>
    <s v="Cust 4390"/>
    <n v="26.12"/>
    <d v="2024-08-17T00:00:00"/>
    <d v="2024-08-24T00:00:00"/>
    <x v="0"/>
  </r>
  <r>
    <x v="403"/>
    <x v="1"/>
    <x v="6"/>
    <n v="2"/>
    <n v="250.98"/>
    <x v="0"/>
    <x v="0"/>
    <x v="1"/>
    <x v="0"/>
    <n v="451.76400000000001"/>
    <x v="0"/>
    <x v="2"/>
    <n v="0"/>
    <s v="REG101387"/>
    <s v="Cust 9451"/>
    <n v="18.8"/>
    <d v="2024-06-02T00:00:00"/>
    <d v="2024-06-12T00:00:00"/>
    <x v="1"/>
  </r>
  <r>
    <x v="714"/>
    <x v="1"/>
    <x v="4"/>
    <n v="8"/>
    <n v="591.29"/>
    <x v="2"/>
    <x v="1"/>
    <x v="1"/>
    <x v="4"/>
    <n v="4257.2879999999996"/>
    <x v="2"/>
    <x v="3"/>
    <n v="1"/>
    <s v="REG101388"/>
    <s v="Cust 5335"/>
    <n v="45.14"/>
    <d v="2023-03-31T00:00:00"/>
    <d v="2023-04-10T00:00:00"/>
    <x v="1"/>
  </r>
  <r>
    <x v="539"/>
    <x v="4"/>
    <x v="4"/>
    <n v="18"/>
    <n v="369.79"/>
    <x v="1"/>
    <x v="0"/>
    <x v="3"/>
    <x v="0"/>
    <n v="6323.4089999999997"/>
    <x v="4"/>
    <x v="0"/>
    <n v="1"/>
    <s v="REG101389"/>
    <s v="Cust 3487"/>
    <n v="16.399999999999999"/>
    <d v="2024-05-19T00:00:00"/>
    <d v="2024-05-23T00:00:00"/>
    <x v="4"/>
  </r>
  <r>
    <x v="724"/>
    <x v="4"/>
    <x v="2"/>
    <n v="15"/>
    <n v="166.24"/>
    <x v="3"/>
    <x v="0"/>
    <x v="1"/>
    <x v="4"/>
    <n v="2244.2399999999998"/>
    <x v="3"/>
    <x v="1"/>
    <n v="0"/>
    <s v="REG101390"/>
    <s v="Cust 7613"/>
    <n v="9.86"/>
    <d v="2023-03-02T00:00:00"/>
    <d v="2023-03-05T00:00:00"/>
    <x v="4"/>
  </r>
  <r>
    <x v="122"/>
    <x v="2"/>
    <x v="6"/>
    <n v="12"/>
    <n v="260.76"/>
    <x v="2"/>
    <x v="0"/>
    <x v="2"/>
    <x v="3"/>
    <n v="2659.752"/>
    <x v="0"/>
    <x v="3"/>
    <n v="0"/>
    <s v="REG101391"/>
    <s v="Cust 9436"/>
    <n v="20.92"/>
    <d v="2023-03-13T00:00:00"/>
    <d v="2023-03-22T00:00:00"/>
    <x v="2"/>
  </r>
  <r>
    <x v="454"/>
    <x v="4"/>
    <x v="0"/>
    <n v="10"/>
    <n v="348.63"/>
    <x v="3"/>
    <x v="0"/>
    <x v="3"/>
    <x v="4"/>
    <n v="3311.9850000000001"/>
    <x v="2"/>
    <x v="3"/>
    <n v="1"/>
    <s v="REG101392"/>
    <s v="Cust 2197"/>
    <n v="42.79"/>
    <d v="2025-04-16T00:00:00"/>
    <d v="2025-04-18T00:00:00"/>
    <x v="4"/>
  </r>
  <r>
    <x v="410"/>
    <x v="2"/>
    <x v="3"/>
    <n v="5"/>
    <n v="473.28"/>
    <x v="1"/>
    <x v="1"/>
    <x v="0"/>
    <x v="4"/>
    <n v="2366.4"/>
    <x v="2"/>
    <x v="1"/>
    <n v="1"/>
    <s v="REG101393"/>
    <s v="Cust 5620"/>
    <n v="30.69"/>
    <d v="2024-06-05T00:00:00"/>
    <d v="2024-06-15T00:00:00"/>
    <x v="2"/>
  </r>
  <r>
    <x v="404"/>
    <x v="2"/>
    <x v="3"/>
    <n v="16"/>
    <n v="401.83"/>
    <x v="0"/>
    <x v="1"/>
    <x v="0"/>
    <x v="0"/>
    <n v="6429.28"/>
    <x v="4"/>
    <x v="0"/>
    <n v="0"/>
    <s v="REG101394"/>
    <s v="Cust 4101"/>
    <n v="21.54"/>
    <d v="2024-09-01T00:00:00"/>
    <d v="2024-09-05T00:00:00"/>
    <x v="2"/>
  </r>
  <r>
    <x v="367"/>
    <x v="2"/>
    <x v="1"/>
    <n v="10"/>
    <n v="269.29000000000002"/>
    <x v="2"/>
    <x v="1"/>
    <x v="0"/>
    <x v="0"/>
    <n v="2692.9"/>
    <x v="3"/>
    <x v="1"/>
    <n v="0"/>
    <s v="REG101395"/>
    <s v="Cust 8828"/>
    <n v="14.09"/>
    <d v="2024-09-21T00:00:00"/>
    <d v="2024-09-30T00:00:00"/>
    <x v="2"/>
  </r>
  <r>
    <x v="405"/>
    <x v="2"/>
    <x v="2"/>
    <n v="4"/>
    <n v="323.02"/>
    <x v="2"/>
    <x v="1"/>
    <x v="3"/>
    <x v="4"/>
    <n v="1227.4760000000001"/>
    <x v="4"/>
    <x v="3"/>
    <n v="0"/>
    <s v="REG101396"/>
    <s v="Cust 3187"/>
    <n v="19.53"/>
    <d v="2025-01-11T00:00:00"/>
    <d v="2025-01-16T00:00:00"/>
    <x v="2"/>
  </r>
  <r>
    <x v="725"/>
    <x v="4"/>
    <x v="4"/>
    <n v="15"/>
    <n v="439.89"/>
    <x v="3"/>
    <x v="1"/>
    <x v="2"/>
    <x v="4"/>
    <n v="5608.5974999999989"/>
    <x v="0"/>
    <x v="0"/>
    <n v="0"/>
    <s v="REG101397"/>
    <s v="Cust 1081"/>
    <n v="49.71"/>
    <d v="2023-01-04T00:00:00"/>
    <d v="2023-01-08T00:00:00"/>
    <x v="4"/>
  </r>
  <r>
    <x v="210"/>
    <x v="4"/>
    <x v="4"/>
    <n v="16"/>
    <n v="483.09"/>
    <x v="2"/>
    <x v="0"/>
    <x v="3"/>
    <x v="1"/>
    <n v="7342.9679999999989"/>
    <x v="3"/>
    <x v="3"/>
    <n v="1"/>
    <s v="REG101398"/>
    <s v="Cust 5049"/>
    <n v="37.659999999999997"/>
    <d v="2023-05-02T00:00:00"/>
    <d v="2023-05-05T00:00:00"/>
    <x v="4"/>
  </r>
  <r>
    <x v="657"/>
    <x v="0"/>
    <x v="1"/>
    <n v="13"/>
    <n v="27.39"/>
    <x v="0"/>
    <x v="1"/>
    <x v="2"/>
    <x v="2"/>
    <n v="302.65949999999998"/>
    <x v="4"/>
    <x v="3"/>
    <n v="0"/>
    <s v="REG101399"/>
    <s v="Cust 5409"/>
    <n v="22.95"/>
    <d v="2023-07-09T00:00:00"/>
    <d v="2023-07-14T00:00:00"/>
    <x v="0"/>
  </r>
  <r>
    <x v="370"/>
    <x v="0"/>
    <x v="4"/>
    <n v="18"/>
    <n v="432.52"/>
    <x v="3"/>
    <x v="1"/>
    <x v="3"/>
    <x v="5"/>
    <n v="7396.0919999999996"/>
    <x v="2"/>
    <x v="1"/>
    <n v="1"/>
    <s v="REG101400"/>
    <s v="Cust 2372"/>
    <n v="34.19"/>
    <d v="2025-02-27T00:00:00"/>
    <d v="2025-03-04T00:00:00"/>
    <x v="0"/>
  </r>
  <r>
    <x v="726"/>
    <x v="4"/>
    <x v="6"/>
    <n v="3"/>
    <n v="360.93"/>
    <x v="0"/>
    <x v="0"/>
    <x v="2"/>
    <x v="4"/>
    <n v="920.37149999999997"/>
    <x v="3"/>
    <x v="2"/>
    <n v="0"/>
    <s v="REG101401"/>
    <s v="Cust 2741"/>
    <n v="35.61"/>
    <d v="2024-09-23T00:00:00"/>
    <d v="2024-09-29T00:00:00"/>
    <x v="4"/>
  </r>
  <r>
    <x v="153"/>
    <x v="0"/>
    <x v="5"/>
    <n v="5"/>
    <n v="414.58"/>
    <x v="0"/>
    <x v="1"/>
    <x v="1"/>
    <x v="4"/>
    <n v="1865.61"/>
    <x v="1"/>
    <x v="3"/>
    <n v="0"/>
    <s v="REG101402"/>
    <s v="Cust 2571"/>
    <n v="14.98"/>
    <d v="2025-06-22T00:00:00"/>
    <d v="2025-07-01T00:00:00"/>
    <x v="0"/>
  </r>
  <r>
    <x v="423"/>
    <x v="3"/>
    <x v="5"/>
    <n v="4"/>
    <n v="68.040000000000006"/>
    <x v="2"/>
    <x v="0"/>
    <x v="0"/>
    <x v="5"/>
    <n v="272.16000000000003"/>
    <x v="0"/>
    <x v="0"/>
    <n v="0"/>
    <s v="REG101403"/>
    <s v="Cust 6301"/>
    <n v="18.72"/>
    <d v="2025-01-19T00:00:00"/>
    <d v="2025-01-28T00:00:00"/>
    <x v="3"/>
  </r>
  <r>
    <x v="45"/>
    <x v="0"/>
    <x v="1"/>
    <n v="10"/>
    <n v="407.99"/>
    <x v="2"/>
    <x v="1"/>
    <x v="2"/>
    <x v="0"/>
    <n v="3467.915"/>
    <x v="4"/>
    <x v="3"/>
    <n v="0"/>
    <s v="REG101404"/>
    <s v="Cust 7918"/>
    <n v="49.59"/>
    <d v="2025-02-03T00:00:00"/>
    <d v="2025-02-08T00:00:00"/>
    <x v="0"/>
  </r>
  <r>
    <x v="203"/>
    <x v="0"/>
    <x v="5"/>
    <n v="15"/>
    <n v="274.77"/>
    <x v="3"/>
    <x v="1"/>
    <x v="0"/>
    <x v="0"/>
    <n v="4121.5499999999993"/>
    <x v="4"/>
    <x v="3"/>
    <n v="1"/>
    <s v="REG101405"/>
    <s v="Cust 3456"/>
    <n v="19.37"/>
    <d v="2023-11-11T00:00:00"/>
    <d v="2023-11-17T00:00:00"/>
    <x v="0"/>
  </r>
  <r>
    <x v="336"/>
    <x v="0"/>
    <x v="2"/>
    <n v="15"/>
    <n v="31.81"/>
    <x v="2"/>
    <x v="0"/>
    <x v="2"/>
    <x v="0"/>
    <n v="405.57749999999999"/>
    <x v="4"/>
    <x v="1"/>
    <n v="0"/>
    <s v="REG101406"/>
    <s v="Cust 8272"/>
    <n v="23.61"/>
    <d v="2024-05-08T00:00:00"/>
    <d v="2024-05-10T00:00:00"/>
    <x v="0"/>
  </r>
  <r>
    <x v="339"/>
    <x v="1"/>
    <x v="6"/>
    <n v="14"/>
    <n v="268.32"/>
    <x v="3"/>
    <x v="1"/>
    <x v="0"/>
    <x v="2"/>
    <n v="3756.48"/>
    <x v="0"/>
    <x v="2"/>
    <n v="0"/>
    <s v="REG101407"/>
    <s v="Cust 7302"/>
    <n v="43.14"/>
    <d v="2023-09-18T00:00:00"/>
    <d v="2023-09-27T00:00:00"/>
    <x v="1"/>
  </r>
  <r>
    <x v="518"/>
    <x v="3"/>
    <x v="5"/>
    <n v="19"/>
    <n v="350.12"/>
    <x v="3"/>
    <x v="1"/>
    <x v="3"/>
    <x v="1"/>
    <n v="6319.6659999999993"/>
    <x v="2"/>
    <x v="0"/>
    <n v="0"/>
    <s v="REG101408"/>
    <s v="Cust 6716"/>
    <n v="48.98"/>
    <d v="2025-04-05T00:00:00"/>
    <d v="2025-04-13T00:00:00"/>
    <x v="3"/>
  </r>
  <r>
    <x v="727"/>
    <x v="3"/>
    <x v="2"/>
    <n v="9"/>
    <n v="329.15"/>
    <x v="1"/>
    <x v="1"/>
    <x v="3"/>
    <x v="4"/>
    <n v="2814.2325000000001"/>
    <x v="1"/>
    <x v="0"/>
    <n v="0"/>
    <s v="REG101409"/>
    <s v="Cust 5484"/>
    <n v="29.41"/>
    <d v="2023-09-13T00:00:00"/>
    <d v="2023-09-15T00:00:00"/>
    <x v="3"/>
  </r>
  <r>
    <x v="163"/>
    <x v="0"/>
    <x v="4"/>
    <n v="1"/>
    <n v="577.07000000000005"/>
    <x v="2"/>
    <x v="0"/>
    <x v="3"/>
    <x v="2"/>
    <n v="548.2165"/>
    <x v="0"/>
    <x v="2"/>
    <n v="0"/>
    <s v="REG101410"/>
    <s v="Cust 4652"/>
    <n v="22.97"/>
    <d v="2024-06-28T00:00:00"/>
    <d v="2024-07-06T00:00:00"/>
    <x v="0"/>
  </r>
  <r>
    <x v="645"/>
    <x v="3"/>
    <x v="3"/>
    <n v="6"/>
    <n v="544.33000000000004"/>
    <x v="0"/>
    <x v="0"/>
    <x v="1"/>
    <x v="3"/>
    <n v="2939.382000000001"/>
    <x v="4"/>
    <x v="3"/>
    <n v="0"/>
    <s v="REG101411"/>
    <s v="Cust 1222"/>
    <n v="11.52"/>
    <d v="2023-04-06T00:00:00"/>
    <d v="2023-04-08T00:00:00"/>
    <x v="3"/>
  </r>
  <r>
    <x v="194"/>
    <x v="1"/>
    <x v="0"/>
    <n v="18"/>
    <n v="331.45"/>
    <x v="3"/>
    <x v="1"/>
    <x v="2"/>
    <x v="1"/>
    <n v="5071.1849999999986"/>
    <x v="4"/>
    <x v="2"/>
    <n v="1"/>
    <s v="REG101412"/>
    <s v="Cust 3559"/>
    <n v="32.92"/>
    <d v="2023-05-13T00:00:00"/>
    <d v="2023-05-18T00:00:00"/>
    <x v="1"/>
  </r>
  <r>
    <x v="695"/>
    <x v="0"/>
    <x v="0"/>
    <n v="1"/>
    <n v="421.26"/>
    <x v="3"/>
    <x v="1"/>
    <x v="1"/>
    <x v="0"/>
    <n v="379.13400000000001"/>
    <x v="3"/>
    <x v="0"/>
    <n v="0"/>
    <s v="REG101413"/>
    <s v="Cust 1287"/>
    <n v="36.340000000000003"/>
    <d v="2025-05-07T00:00:00"/>
    <d v="2025-05-15T00:00:00"/>
    <x v="0"/>
  </r>
  <r>
    <x v="61"/>
    <x v="2"/>
    <x v="5"/>
    <n v="4"/>
    <n v="555.02"/>
    <x v="0"/>
    <x v="1"/>
    <x v="1"/>
    <x v="4"/>
    <n v="1998.0719999999999"/>
    <x v="4"/>
    <x v="1"/>
    <n v="0"/>
    <s v="REG101414"/>
    <s v="Cust 5444"/>
    <n v="45.25"/>
    <d v="2025-03-22T00:00:00"/>
    <d v="2025-03-27T00:00:00"/>
    <x v="2"/>
  </r>
  <r>
    <x v="503"/>
    <x v="1"/>
    <x v="0"/>
    <n v="19"/>
    <n v="254.03"/>
    <x v="2"/>
    <x v="0"/>
    <x v="0"/>
    <x v="2"/>
    <n v="4826.57"/>
    <x v="0"/>
    <x v="1"/>
    <n v="1"/>
    <s v="REG101415"/>
    <s v="Cust 4018"/>
    <n v="11.21"/>
    <d v="2024-06-24T00:00:00"/>
    <d v="2024-07-02T00:00:00"/>
    <x v="1"/>
  </r>
  <r>
    <x v="176"/>
    <x v="4"/>
    <x v="5"/>
    <n v="9"/>
    <n v="533.92999999999995"/>
    <x v="3"/>
    <x v="1"/>
    <x v="2"/>
    <x v="2"/>
    <n v="4084.5645"/>
    <x v="1"/>
    <x v="3"/>
    <n v="0"/>
    <s v="REG101416"/>
    <s v="Cust 6355"/>
    <n v="34.76"/>
    <d v="2025-06-29T00:00:00"/>
    <d v="2025-07-03T00:00:00"/>
    <x v="4"/>
  </r>
  <r>
    <x v="204"/>
    <x v="4"/>
    <x v="2"/>
    <n v="7"/>
    <n v="241.35"/>
    <x v="0"/>
    <x v="0"/>
    <x v="1"/>
    <x v="4"/>
    <n v="1520.5050000000001"/>
    <x v="2"/>
    <x v="1"/>
    <n v="0"/>
    <s v="REG101417"/>
    <s v="Cust 6620"/>
    <n v="42.43"/>
    <d v="2024-04-01T00:00:00"/>
    <d v="2024-04-10T00:00:00"/>
    <x v="4"/>
  </r>
  <r>
    <x v="44"/>
    <x v="2"/>
    <x v="5"/>
    <n v="11"/>
    <n v="160.37"/>
    <x v="0"/>
    <x v="0"/>
    <x v="3"/>
    <x v="3"/>
    <n v="1675.8665000000001"/>
    <x v="4"/>
    <x v="3"/>
    <n v="0"/>
    <s v="REG101418"/>
    <s v="Cust 4092"/>
    <n v="36.049999999999997"/>
    <d v="2024-06-04T00:00:00"/>
    <d v="2024-06-14T00:00:00"/>
    <x v="2"/>
  </r>
  <r>
    <x v="306"/>
    <x v="0"/>
    <x v="5"/>
    <n v="1"/>
    <n v="419.1"/>
    <x v="0"/>
    <x v="0"/>
    <x v="1"/>
    <x v="3"/>
    <n v="377.19000000000011"/>
    <x v="1"/>
    <x v="1"/>
    <n v="1"/>
    <s v="REG101419"/>
    <s v="Cust 4812"/>
    <n v="38.81"/>
    <d v="2023-03-30T00:00:00"/>
    <d v="2023-04-06T00:00:00"/>
    <x v="0"/>
  </r>
  <r>
    <x v="582"/>
    <x v="0"/>
    <x v="0"/>
    <n v="13"/>
    <n v="138.72"/>
    <x v="3"/>
    <x v="0"/>
    <x v="2"/>
    <x v="3"/>
    <n v="1532.856"/>
    <x v="4"/>
    <x v="2"/>
    <n v="1"/>
    <s v="REG101420"/>
    <s v="Cust 8389"/>
    <n v="17.89"/>
    <d v="2025-03-26T00:00:00"/>
    <d v="2025-03-28T00:00:00"/>
    <x v="0"/>
  </r>
  <r>
    <x v="530"/>
    <x v="4"/>
    <x v="4"/>
    <n v="8"/>
    <n v="461.04"/>
    <x v="0"/>
    <x v="1"/>
    <x v="0"/>
    <x v="1"/>
    <n v="3688.32"/>
    <x v="0"/>
    <x v="0"/>
    <n v="0"/>
    <s v="REG101421"/>
    <s v="Cust 4529"/>
    <n v="13.62"/>
    <d v="2023-08-22T00:00:00"/>
    <d v="2023-08-24T00:00:00"/>
    <x v="4"/>
  </r>
  <r>
    <x v="683"/>
    <x v="1"/>
    <x v="1"/>
    <n v="6"/>
    <n v="524.19000000000005"/>
    <x v="3"/>
    <x v="1"/>
    <x v="2"/>
    <x v="2"/>
    <n v="2673.3690000000001"/>
    <x v="4"/>
    <x v="2"/>
    <n v="0"/>
    <s v="REG101422"/>
    <s v="Cust 2365"/>
    <n v="31.04"/>
    <d v="2024-04-16T00:00:00"/>
    <d v="2024-04-20T00:00:00"/>
    <x v="1"/>
  </r>
  <r>
    <x v="15"/>
    <x v="3"/>
    <x v="3"/>
    <n v="16"/>
    <n v="305.20999999999998"/>
    <x v="1"/>
    <x v="0"/>
    <x v="1"/>
    <x v="1"/>
    <n v="4395.0239999999994"/>
    <x v="3"/>
    <x v="1"/>
    <n v="0"/>
    <s v="REG101423"/>
    <s v="Cust 6361"/>
    <n v="33.369999999999997"/>
    <d v="2025-05-11T00:00:00"/>
    <d v="2025-05-19T00:00:00"/>
    <x v="3"/>
  </r>
  <r>
    <x v="464"/>
    <x v="2"/>
    <x v="6"/>
    <n v="16"/>
    <n v="438.71"/>
    <x v="2"/>
    <x v="1"/>
    <x v="0"/>
    <x v="1"/>
    <n v="7019.36"/>
    <x v="0"/>
    <x v="3"/>
    <n v="0"/>
    <s v="REG101424"/>
    <s v="Cust 4228"/>
    <n v="6.53"/>
    <d v="2023-12-11T00:00:00"/>
    <d v="2023-12-21T00:00:00"/>
    <x v="2"/>
  </r>
  <r>
    <x v="375"/>
    <x v="2"/>
    <x v="6"/>
    <n v="10"/>
    <n v="193.96"/>
    <x v="3"/>
    <x v="0"/>
    <x v="1"/>
    <x v="1"/>
    <n v="1745.64"/>
    <x v="1"/>
    <x v="3"/>
    <n v="0"/>
    <s v="REG101425"/>
    <s v="Cust 3940"/>
    <n v="41.3"/>
    <d v="2023-01-16T00:00:00"/>
    <d v="2023-01-21T00:00:00"/>
    <x v="2"/>
  </r>
  <r>
    <x v="2"/>
    <x v="0"/>
    <x v="1"/>
    <n v="18"/>
    <n v="580.41999999999996"/>
    <x v="1"/>
    <x v="0"/>
    <x v="3"/>
    <x v="5"/>
    <n v="9925.1819999999989"/>
    <x v="0"/>
    <x v="1"/>
    <n v="0"/>
    <s v="REG101426"/>
    <s v="Cust 4392"/>
    <n v="37.81"/>
    <d v="2023-05-10T00:00:00"/>
    <d v="2023-05-17T00:00:00"/>
    <x v="0"/>
  </r>
  <r>
    <x v="728"/>
    <x v="3"/>
    <x v="4"/>
    <n v="18"/>
    <n v="91.55"/>
    <x v="2"/>
    <x v="1"/>
    <x v="1"/>
    <x v="1"/>
    <n v="1483.11"/>
    <x v="3"/>
    <x v="0"/>
    <n v="0"/>
    <s v="REG101427"/>
    <s v="Cust 4404"/>
    <n v="32.54"/>
    <d v="2024-06-22T00:00:00"/>
    <d v="2024-06-29T00:00:00"/>
    <x v="3"/>
  </r>
  <r>
    <x v="259"/>
    <x v="4"/>
    <x v="5"/>
    <n v="13"/>
    <n v="113.78"/>
    <x v="2"/>
    <x v="0"/>
    <x v="1"/>
    <x v="0"/>
    <n v="1331.2260000000001"/>
    <x v="0"/>
    <x v="0"/>
    <n v="0"/>
    <s v="REG101428"/>
    <s v="Cust 2981"/>
    <n v="28.07"/>
    <d v="2025-03-29T00:00:00"/>
    <d v="2025-04-07T00:00:00"/>
    <x v="4"/>
  </r>
  <r>
    <x v="625"/>
    <x v="2"/>
    <x v="5"/>
    <n v="16"/>
    <n v="477.91"/>
    <x v="1"/>
    <x v="0"/>
    <x v="0"/>
    <x v="3"/>
    <n v="7646.56"/>
    <x v="2"/>
    <x v="2"/>
    <n v="0"/>
    <s v="REG101429"/>
    <s v="Cust 3571"/>
    <n v="21.89"/>
    <d v="2023-04-18T00:00:00"/>
    <d v="2023-04-23T00:00:00"/>
    <x v="2"/>
  </r>
  <r>
    <x v="230"/>
    <x v="3"/>
    <x v="0"/>
    <n v="14"/>
    <n v="306.39"/>
    <x v="1"/>
    <x v="1"/>
    <x v="1"/>
    <x v="0"/>
    <n v="3860.5140000000001"/>
    <x v="4"/>
    <x v="2"/>
    <n v="0"/>
    <s v="REG101430"/>
    <s v="Cust 2592"/>
    <n v="38.729999999999997"/>
    <d v="2023-02-07T00:00:00"/>
    <d v="2023-02-09T00:00:00"/>
    <x v="3"/>
  </r>
  <r>
    <x v="729"/>
    <x v="0"/>
    <x v="5"/>
    <n v="17"/>
    <n v="8.33"/>
    <x v="1"/>
    <x v="1"/>
    <x v="3"/>
    <x v="0"/>
    <n v="134.52950000000001"/>
    <x v="4"/>
    <x v="3"/>
    <n v="0"/>
    <s v="REG101431"/>
    <s v="Cust 6209"/>
    <n v="43.29"/>
    <d v="2025-01-22T00:00:00"/>
    <d v="2025-01-25T00:00:00"/>
    <x v="0"/>
  </r>
  <r>
    <x v="250"/>
    <x v="0"/>
    <x v="1"/>
    <n v="6"/>
    <n v="346.86"/>
    <x v="2"/>
    <x v="1"/>
    <x v="3"/>
    <x v="0"/>
    <n v="1977.1020000000001"/>
    <x v="1"/>
    <x v="0"/>
    <n v="0"/>
    <s v="REG101432"/>
    <s v="Cust 6600"/>
    <n v="29.18"/>
    <d v="2023-07-04T00:00:00"/>
    <d v="2023-07-12T00:00:00"/>
    <x v="0"/>
  </r>
  <r>
    <x v="65"/>
    <x v="3"/>
    <x v="2"/>
    <n v="14"/>
    <n v="223.26"/>
    <x v="0"/>
    <x v="0"/>
    <x v="1"/>
    <x v="1"/>
    <n v="2813.076"/>
    <x v="2"/>
    <x v="2"/>
    <n v="0"/>
    <s v="REG101433"/>
    <s v="Cust 6899"/>
    <n v="12.88"/>
    <d v="2023-07-31T00:00:00"/>
    <d v="2023-08-03T00:00:00"/>
    <x v="3"/>
  </r>
  <r>
    <x v="730"/>
    <x v="2"/>
    <x v="2"/>
    <n v="6"/>
    <n v="529.1"/>
    <x v="3"/>
    <x v="0"/>
    <x v="0"/>
    <x v="0"/>
    <n v="3174.6"/>
    <x v="3"/>
    <x v="2"/>
    <n v="0"/>
    <s v="REG101434"/>
    <s v="Cust 1563"/>
    <n v="5.13"/>
    <d v="2023-04-20T00:00:00"/>
    <d v="2023-04-27T00:00:00"/>
    <x v="2"/>
  </r>
  <r>
    <x v="485"/>
    <x v="3"/>
    <x v="5"/>
    <n v="11"/>
    <n v="97.34"/>
    <x v="3"/>
    <x v="0"/>
    <x v="1"/>
    <x v="3"/>
    <n v="963.66600000000005"/>
    <x v="3"/>
    <x v="1"/>
    <n v="0"/>
    <s v="REG101435"/>
    <s v="Cust 6733"/>
    <n v="10.61"/>
    <d v="2024-10-08T00:00:00"/>
    <d v="2024-10-11T00:00:00"/>
    <x v="3"/>
  </r>
  <r>
    <x v="109"/>
    <x v="0"/>
    <x v="3"/>
    <n v="11"/>
    <n v="422.89"/>
    <x v="0"/>
    <x v="1"/>
    <x v="1"/>
    <x v="2"/>
    <n v="4186.6109999999999"/>
    <x v="2"/>
    <x v="1"/>
    <n v="0"/>
    <s v="REG101436"/>
    <s v="Cust 7635"/>
    <n v="45.89"/>
    <d v="2024-01-25T00:00:00"/>
    <d v="2024-01-27T00:00:00"/>
    <x v="0"/>
  </r>
  <r>
    <x v="284"/>
    <x v="1"/>
    <x v="4"/>
    <n v="4"/>
    <n v="557.16999999999996"/>
    <x v="2"/>
    <x v="0"/>
    <x v="3"/>
    <x v="2"/>
    <n v="2117.2460000000001"/>
    <x v="2"/>
    <x v="3"/>
    <n v="0"/>
    <s v="REG101437"/>
    <s v="Cust 4354"/>
    <n v="32.159999999999997"/>
    <d v="2024-12-16T00:00:00"/>
    <d v="2024-12-25T00:00:00"/>
    <x v="1"/>
  </r>
  <r>
    <x v="408"/>
    <x v="3"/>
    <x v="6"/>
    <n v="9"/>
    <n v="459.65"/>
    <x v="0"/>
    <x v="1"/>
    <x v="1"/>
    <x v="5"/>
    <n v="3723.165"/>
    <x v="1"/>
    <x v="2"/>
    <n v="1"/>
    <s v="REG101438"/>
    <s v="Cust 1462"/>
    <n v="22.24"/>
    <d v="2024-10-24T00:00:00"/>
    <d v="2024-11-01T00:00:00"/>
    <x v="3"/>
  </r>
  <r>
    <x v="346"/>
    <x v="4"/>
    <x v="4"/>
    <n v="8"/>
    <n v="493.35"/>
    <x v="1"/>
    <x v="1"/>
    <x v="1"/>
    <x v="1"/>
    <n v="3552.12"/>
    <x v="4"/>
    <x v="0"/>
    <n v="1"/>
    <s v="REG101439"/>
    <s v="Cust 1376"/>
    <n v="12.86"/>
    <d v="2023-11-16T00:00:00"/>
    <d v="2023-11-20T00:00:00"/>
    <x v="4"/>
  </r>
  <r>
    <x v="199"/>
    <x v="1"/>
    <x v="0"/>
    <n v="13"/>
    <n v="428.59"/>
    <x v="3"/>
    <x v="1"/>
    <x v="0"/>
    <x v="5"/>
    <n v="5571.67"/>
    <x v="4"/>
    <x v="0"/>
    <n v="0"/>
    <s v="REG101440"/>
    <s v="Cust 6542"/>
    <n v="23.89"/>
    <d v="2024-03-31T00:00:00"/>
    <d v="2024-04-08T00:00:00"/>
    <x v="1"/>
  </r>
  <r>
    <x v="278"/>
    <x v="0"/>
    <x v="0"/>
    <n v="7"/>
    <n v="242.11"/>
    <x v="2"/>
    <x v="0"/>
    <x v="3"/>
    <x v="0"/>
    <n v="1610.0315000000001"/>
    <x v="3"/>
    <x v="2"/>
    <n v="0"/>
    <s v="REG101441"/>
    <s v="Cust 1186"/>
    <n v="47.19"/>
    <d v="2023-02-13T00:00:00"/>
    <d v="2023-02-18T00:00:00"/>
    <x v="0"/>
  </r>
  <r>
    <x v="567"/>
    <x v="1"/>
    <x v="5"/>
    <n v="17"/>
    <n v="477.38"/>
    <x v="2"/>
    <x v="1"/>
    <x v="3"/>
    <x v="1"/>
    <n v="7709.6869999999999"/>
    <x v="1"/>
    <x v="0"/>
    <n v="0"/>
    <s v="REG101442"/>
    <s v="Cust 4386"/>
    <n v="35.28"/>
    <d v="2023-09-20T00:00:00"/>
    <d v="2023-09-27T00:00:00"/>
    <x v="1"/>
  </r>
  <r>
    <x v="161"/>
    <x v="1"/>
    <x v="3"/>
    <n v="3"/>
    <n v="261.60000000000002"/>
    <x v="3"/>
    <x v="1"/>
    <x v="3"/>
    <x v="4"/>
    <n v="745.56000000000006"/>
    <x v="4"/>
    <x v="2"/>
    <n v="0"/>
    <s v="REG101443"/>
    <s v="Cust 6708"/>
    <n v="42.11"/>
    <d v="2023-06-27T00:00:00"/>
    <d v="2023-07-07T00:00:00"/>
    <x v="1"/>
  </r>
  <r>
    <x v="177"/>
    <x v="3"/>
    <x v="0"/>
    <n v="6"/>
    <n v="416.2"/>
    <x v="1"/>
    <x v="0"/>
    <x v="3"/>
    <x v="1"/>
    <n v="2372.34"/>
    <x v="4"/>
    <x v="2"/>
    <n v="1"/>
    <s v="REG101444"/>
    <s v="Cust 6354"/>
    <n v="44.14"/>
    <d v="2025-04-02T00:00:00"/>
    <d v="2025-04-06T00:00:00"/>
    <x v="3"/>
  </r>
  <r>
    <x v="454"/>
    <x v="2"/>
    <x v="6"/>
    <n v="15"/>
    <n v="99.66"/>
    <x v="1"/>
    <x v="0"/>
    <x v="0"/>
    <x v="0"/>
    <n v="1494.9"/>
    <x v="4"/>
    <x v="0"/>
    <n v="0"/>
    <s v="REG101445"/>
    <s v="Cust 3477"/>
    <n v="27.55"/>
    <d v="2025-04-16T00:00:00"/>
    <d v="2025-04-26T00:00:00"/>
    <x v="2"/>
  </r>
  <r>
    <x v="540"/>
    <x v="3"/>
    <x v="0"/>
    <n v="16"/>
    <n v="55.56"/>
    <x v="3"/>
    <x v="0"/>
    <x v="2"/>
    <x v="2"/>
    <n v="755.61599999999999"/>
    <x v="4"/>
    <x v="3"/>
    <n v="1"/>
    <s v="REG101446"/>
    <s v="Cust 6646"/>
    <n v="17.809999999999999"/>
    <d v="2024-07-09T00:00:00"/>
    <d v="2024-07-17T00:00:00"/>
    <x v="3"/>
  </r>
  <r>
    <x v="731"/>
    <x v="0"/>
    <x v="1"/>
    <n v="20"/>
    <n v="243.47"/>
    <x v="1"/>
    <x v="0"/>
    <x v="3"/>
    <x v="1"/>
    <n v="4625.9299999999994"/>
    <x v="1"/>
    <x v="0"/>
    <n v="1"/>
    <s v="REG101447"/>
    <s v="Cust 4250"/>
    <n v="32.28"/>
    <d v="2025-06-23T00:00:00"/>
    <d v="2025-07-03T00:00:00"/>
    <x v="0"/>
  </r>
  <r>
    <x v="732"/>
    <x v="0"/>
    <x v="5"/>
    <n v="11"/>
    <n v="185.59"/>
    <x v="0"/>
    <x v="1"/>
    <x v="1"/>
    <x v="3"/>
    <n v="1837.3409999999999"/>
    <x v="1"/>
    <x v="3"/>
    <n v="0"/>
    <s v="REG101448"/>
    <s v="Cust 5351"/>
    <n v="45.19"/>
    <d v="2024-06-09T00:00:00"/>
    <d v="2024-06-18T00:00:00"/>
    <x v="0"/>
  </r>
  <r>
    <x v="112"/>
    <x v="3"/>
    <x v="2"/>
    <n v="11"/>
    <n v="347.38"/>
    <x v="2"/>
    <x v="0"/>
    <x v="3"/>
    <x v="0"/>
    <n v="3630.1210000000001"/>
    <x v="2"/>
    <x v="0"/>
    <n v="0"/>
    <s v="REG101449"/>
    <s v="Cust 6284"/>
    <n v="24.8"/>
    <d v="2023-12-01T00:00:00"/>
    <d v="2023-12-03T00:00:00"/>
    <x v="3"/>
  </r>
  <r>
    <x v="733"/>
    <x v="4"/>
    <x v="5"/>
    <n v="15"/>
    <n v="318.02999999999997"/>
    <x v="3"/>
    <x v="1"/>
    <x v="3"/>
    <x v="4"/>
    <n v="4531.9274999999998"/>
    <x v="1"/>
    <x v="2"/>
    <n v="1"/>
    <s v="REG101450"/>
    <s v="Cust 9099"/>
    <n v="24.38"/>
    <d v="2024-07-24T00:00:00"/>
    <d v="2024-07-30T00:00:00"/>
    <x v="4"/>
  </r>
  <r>
    <x v="264"/>
    <x v="4"/>
    <x v="3"/>
    <n v="15"/>
    <n v="242.35"/>
    <x v="3"/>
    <x v="0"/>
    <x v="2"/>
    <x v="4"/>
    <n v="3089.9625000000001"/>
    <x v="4"/>
    <x v="2"/>
    <n v="1"/>
    <s v="REG101451"/>
    <s v="Cust 3944"/>
    <n v="14.92"/>
    <d v="2023-04-12T00:00:00"/>
    <d v="2023-04-19T00:00:00"/>
    <x v="4"/>
  </r>
  <r>
    <x v="441"/>
    <x v="2"/>
    <x v="2"/>
    <n v="3"/>
    <n v="82.09"/>
    <x v="0"/>
    <x v="1"/>
    <x v="2"/>
    <x v="0"/>
    <n v="209.3295"/>
    <x v="1"/>
    <x v="2"/>
    <n v="1"/>
    <s v="REG101452"/>
    <s v="Cust 6124"/>
    <n v="12.63"/>
    <d v="2024-12-17T00:00:00"/>
    <d v="2024-12-26T00:00:00"/>
    <x v="2"/>
  </r>
  <r>
    <x v="669"/>
    <x v="1"/>
    <x v="4"/>
    <n v="10"/>
    <n v="285.73"/>
    <x v="3"/>
    <x v="0"/>
    <x v="2"/>
    <x v="0"/>
    <n v="2428.7049999999999"/>
    <x v="4"/>
    <x v="2"/>
    <n v="1"/>
    <s v="REG101453"/>
    <s v="Cust 8533"/>
    <n v="26.68"/>
    <d v="2024-08-08T00:00:00"/>
    <d v="2024-08-14T00:00:00"/>
    <x v="1"/>
  </r>
  <r>
    <x v="564"/>
    <x v="0"/>
    <x v="0"/>
    <n v="17"/>
    <n v="341.52"/>
    <x v="2"/>
    <x v="0"/>
    <x v="1"/>
    <x v="0"/>
    <n v="5225.2560000000003"/>
    <x v="2"/>
    <x v="0"/>
    <n v="0"/>
    <s v="REG101454"/>
    <s v="Cust 1135"/>
    <n v="16.670000000000002"/>
    <d v="2024-09-15T00:00:00"/>
    <d v="2024-09-22T00:00:00"/>
    <x v="0"/>
  </r>
  <r>
    <x v="734"/>
    <x v="1"/>
    <x v="5"/>
    <n v="14"/>
    <n v="216.4"/>
    <x v="3"/>
    <x v="0"/>
    <x v="1"/>
    <x v="4"/>
    <n v="2726.64"/>
    <x v="3"/>
    <x v="2"/>
    <n v="0"/>
    <s v="REG101455"/>
    <s v="Cust 5638"/>
    <n v="40.74"/>
    <d v="2023-10-08T00:00:00"/>
    <d v="2023-10-10T00:00:00"/>
    <x v="1"/>
  </r>
  <r>
    <x v="549"/>
    <x v="1"/>
    <x v="1"/>
    <n v="16"/>
    <n v="231.76"/>
    <x v="0"/>
    <x v="1"/>
    <x v="2"/>
    <x v="5"/>
    <n v="3151.9360000000001"/>
    <x v="0"/>
    <x v="2"/>
    <n v="1"/>
    <s v="REG101456"/>
    <s v="Cust 1333"/>
    <n v="9.42"/>
    <d v="2025-05-23T00:00:00"/>
    <d v="2025-05-27T00:00:00"/>
    <x v="1"/>
  </r>
  <r>
    <x v="735"/>
    <x v="1"/>
    <x v="0"/>
    <n v="7"/>
    <n v="61.47"/>
    <x v="2"/>
    <x v="1"/>
    <x v="2"/>
    <x v="0"/>
    <n v="365.74650000000003"/>
    <x v="0"/>
    <x v="0"/>
    <n v="0"/>
    <s v="REG101457"/>
    <s v="Cust 2394"/>
    <n v="14.44"/>
    <d v="2023-01-02T00:00:00"/>
    <d v="2023-01-12T00:00:00"/>
    <x v="1"/>
  </r>
  <r>
    <x v="544"/>
    <x v="2"/>
    <x v="2"/>
    <n v="15"/>
    <n v="434.44"/>
    <x v="0"/>
    <x v="0"/>
    <x v="0"/>
    <x v="5"/>
    <n v="6516.6"/>
    <x v="3"/>
    <x v="3"/>
    <n v="1"/>
    <s v="REG101458"/>
    <s v="Cust 8495"/>
    <n v="33.86"/>
    <d v="2023-10-19T00:00:00"/>
    <d v="2023-10-28T00:00:00"/>
    <x v="2"/>
  </r>
  <r>
    <x v="659"/>
    <x v="4"/>
    <x v="3"/>
    <n v="16"/>
    <n v="484.01"/>
    <x v="1"/>
    <x v="0"/>
    <x v="0"/>
    <x v="1"/>
    <n v="7744.16"/>
    <x v="0"/>
    <x v="1"/>
    <n v="1"/>
    <s v="REG101459"/>
    <s v="Cust 3988"/>
    <n v="9.65"/>
    <d v="2025-04-25T00:00:00"/>
    <d v="2025-05-01T00:00:00"/>
    <x v="4"/>
  </r>
  <r>
    <x v="199"/>
    <x v="3"/>
    <x v="2"/>
    <n v="2"/>
    <n v="55.08"/>
    <x v="2"/>
    <x v="0"/>
    <x v="0"/>
    <x v="2"/>
    <n v="110.16"/>
    <x v="2"/>
    <x v="0"/>
    <n v="0"/>
    <s v="REG101460"/>
    <s v="Cust 4664"/>
    <n v="9.85"/>
    <d v="2024-03-31T00:00:00"/>
    <d v="2024-04-04T00:00:00"/>
    <x v="3"/>
  </r>
  <r>
    <x v="94"/>
    <x v="2"/>
    <x v="6"/>
    <n v="13"/>
    <n v="223.44"/>
    <x v="0"/>
    <x v="1"/>
    <x v="2"/>
    <x v="3"/>
    <n v="2469.0120000000002"/>
    <x v="2"/>
    <x v="3"/>
    <n v="1"/>
    <s v="REG101461"/>
    <s v="Cust 5086"/>
    <n v="38.46"/>
    <d v="2025-01-31T00:00:00"/>
    <d v="2025-02-07T00:00:00"/>
    <x v="2"/>
  </r>
  <r>
    <x v="166"/>
    <x v="0"/>
    <x v="1"/>
    <n v="11"/>
    <n v="548.08000000000004"/>
    <x v="3"/>
    <x v="0"/>
    <x v="3"/>
    <x v="0"/>
    <n v="5727.4359999999997"/>
    <x v="4"/>
    <x v="3"/>
    <n v="0"/>
    <s v="REG101462"/>
    <s v="Cust 8858"/>
    <n v="25.82"/>
    <d v="2025-03-27T00:00:00"/>
    <d v="2025-04-06T00:00:00"/>
    <x v="0"/>
  </r>
  <r>
    <x v="423"/>
    <x v="3"/>
    <x v="2"/>
    <n v="11"/>
    <n v="133.63999999999999"/>
    <x v="3"/>
    <x v="0"/>
    <x v="0"/>
    <x v="4"/>
    <n v="1470.04"/>
    <x v="3"/>
    <x v="3"/>
    <n v="1"/>
    <s v="REG101463"/>
    <s v="Cust 8796"/>
    <n v="30.18"/>
    <d v="2025-01-19T00:00:00"/>
    <d v="2025-01-24T00:00:00"/>
    <x v="3"/>
  </r>
  <r>
    <x v="494"/>
    <x v="2"/>
    <x v="3"/>
    <n v="19"/>
    <n v="368.85"/>
    <x v="2"/>
    <x v="1"/>
    <x v="1"/>
    <x v="5"/>
    <n v="6307.3350000000009"/>
    <x v="1"/>
    <x v="0"/>
    <n v="0"/>
    <s v="REG101464"/>
    <s v="Cust 2496"/>
    <n v="35.369999999999997"/>
    <d v="2024-05-16T00:00:00"/>
    <d v="2024-05-21T00:00:00"/>
    <x v="2"/>
  </r>
  <r>
    <x v="736"/>
    <x v="3"/>
    <x v="3"/>
    <n v="14"/>
    <n v="115.98"/>
    <x v="1"/>
    <x v="0"/>
    <x v="0"/>
    <x v="5"/>
    <n v="1623.72"/>
    <x v="3"/>
    <x v="3"/>
    <n v="0"/>
    <s v="REG101465"/>
    <s v="Cust 5465"/>
    <n v="31.85"/>
    <d v="2023-09-04T00:00:00"/>
    <d v="2023-09-06T00:00:00"/>
    <x v="3"/>
  </r>
  <r>
    <x v="737"/>
    <x v="1"/>
    <x v="4"/>
    <n v="9"/>
    <n v="55.04"/>
    <x v="0"/>
    <x v="1"/>
    <x v="2"/>
    <x v="1"/>
    <n v="421.05599999999998"/>
    <x v="0"/>
    <x v="3"/>
    <n v="0"/>
    <s v="REG101466"/>
    <s v="Cust 2311"/>
    <n v="31.09"/>
    <d v="2023-12-17T00:00:00"/>
    <d v="2023-12-23T00:00:00"/>
    <x v="1"/>
  </r>
  <r>
    <x v="481"/>
    <x v="3"/>
    <x v="4"/>
    <n v="4"/>
    <n v="159.54"/>
    <x v="1"/>
    <x v="0"/>
    <x v="3"/>
    <x v="1"/>
    <n v="606.25199999999995"/>
    <x v="2"/>
    <x v="0"/>
    <n v="0"/>
    <s v="REG101467"/>
    <s v="Cust 4575"/>
    <n v="32.36"/>
    <d v="2024-01-15T00:00:00"/>
    <d v="2024-01-21T00:00:00"/>
    <x v="3"/>
  </r>
  <r>
    <x v="1"/>
    <x v="3"/>
    <x v="0"/>
    <n v="15"/>
    <n v="150.15"/>
    <x v="2"/>
    <x v="1"/>
    <x v="0"/>
    <x v="2"/>
    <n v="2252.25"/>
    <x v="0"/>
    <x v="2"/>
    <n v="0"/>
    <s v="REG101468"/>
    <s v="Cust 8054"/>
    <n v="35.94"/>
    <d v="2024-12-19T00:00:00"/>
    <d v="2024-12-29T00:00:00"/>
    <x v="3"/>
  </r>
  <r>
    <x v="77"/>
    <x v="2"/>
    <x v="3"/>
    <n v="9"/>
    <n v="57.93"/>
    <x v="2"/>
    <x v="0"/>
    <x v="0"/>
    <x v="5"/>
    <n v="521.37"/>
    <x v="1"/>
    <x v="0"/>
    <n v="1"/>
    <s v="REG101469"/>
    <s v="Cust 2553"/>
    <n v="28.73"/>
    <d v="2023-12-16T00:00:00"/>
    <d v="2023-12-18T00:00:00"/>
    <x v="2"/>
  </r>
  <r>
    <x v="707"/>
    <x v="3"/>
    <x v="0"/>
    <n v="4"/>
    <n v="438.58"/>
    <x v="3"/>
    <x v="1"/>
    <x v="3"/>
    <x v="1"/>
    <n v="1666.604"/>
    <x v="0"/>
    <x v="2"/>
    <n v="0"/>
    <s v="REG101470"/>
    <s v="Cust 7547"/>
    <n v="5.0999999999999996"/>
    <d v="2025-05-14T00:00:00"/>
    <d v="2025-05-18T00:00:00"/>
    <x v="3"/>
  </r>
  <r>
    <x v="43"/>
    <x v="1"/>
    <x v="4"/>
    <n v="6"/>
    <n v="536.24"/>
    <x v="3"/>
    <x v="1"/>
    <x v="0"/>
    <x v="4"/>
    <n v="3217.44"/>
    <x v="4"/>
    <x v="2"/>
    <n v="0"/>
    <s v="REG101471"/>
    <s v="Cust 8150"/>
    <n v="35.32"/>
    <d v="2023-06-30T00:00:00"/>
    <d v="2023-07-02T00:00:00"/>
    <x v="1"/>
  </r>
  <r>
    <x v="148"/>
    <x v="1"/>
    <x v="1"/>
    <n v="20"/>
    <n v="444.77"/>
    <x v="0"/>
    <x v="0"/>
    <x v="1"/>
    <x v="4"/>
    <n v="8005.86"/>
    <x v="0"/>
    <x v="3"/>
    <n v="1"/>
    <s v="REG101472"/>
    <s v="Cust 5635"/>
    <n v="20.05"/>
    <d v="2025-06-30T00:00:00"/>
    <d v="2025-07-07T00:00:00"/>
    <x v="1"/>
  </r>
  <r>
    <x v="95"/>
    <x v="3"/>
    <x v="6"/>
    <n v="10"/>
    <n v="212.1"/>
    <x v="0"/>
    <x v="1"/>
    <x v="2"/>
    <x v="0"/>
    <n v="1802.85"/>
    <x v="1"/>
    <x v="2"/>
    <n v="0"/>
    <s v="REG101473"/>
    <s v="Cust 4360"/>
    <n v="47.93"/>
    <d v="2025-03-14T00:00:00"/>
    <d v="2025-03-22T00:00:00"/>
    <x v="3"/>
  </r>
  <r>
    <x v="625"/>
    <x v="1"/>
    <x v="1"/>
    <n v="9"/>
    <n v="509.44"/>
    <x v="0"/>
    <x v="1"/>
    <x v="2"/>
    <x v="0"/>
    <n v="3897.2159999999999"/>
    <x v="2"/>
    <x v="1"/>
    <n v="0"/>
    <s v="REG101474"/>
    <s v="Cust 1624"/>
    <n v="13"/>
    <d v="2023-04-18T00:00:00"/>
    <d v="2023-04-27T00:00:00"/>
    <x v="1"/>
  </r>
  <r>
    <x v="303"/>
    <x v="4"/>
    <x v="4"/>
    <n v="8"/>
    <n v="236.17"/>
    <x v="2"/>
    <x v="0"/>
    <x v="2"/>
    <x v="2"/>
    <n v="1605.9559999999999"/>
    <x v="4"/>
    <x v="2"/>
    <n v="0"/>
    <s v="REG101475"/>
    <s v="Cust 6593"/>
    <n v="22.88"/>
    <d v="2024-09-11T00:00:00"/>
    <d v="2024-09-19T00:00:00"/>
    <x v="4"/>
  </r>
  <r>
    <x v="283"/>
    <x v="3"/>
    <x v="6"/>
    <n v="1"/>
    <n v="147.4"/>
    <x v="3"/>
    <x v="1"/>
    <x v="0"/>
    <x v="3"/>
    <n v="147.4"/>
    <x v="4"/>
    <x v="1"/>
    <n v="1"/>
    <s v="REG101476"/>
    <s v="Cust 9072"/>
    <n v="40.47"/>
    <d v="2023-11-21T00:00:00"/>
    <d v="2023-11-28T00:00:00"/>
    <x v="3"/>
  </r>
  <r>
    <x v="459"/>
    <x v="4"/>
    <x v="5"/>
    <n v="8"/>
    <n v="279.74"/>
    <x v="0"/>
    <x v="1"/>
    <x v="3"/>
    <x v="1"/>
    <n v="2126.0239999999999"/>
    <x v="1"/>
    <x v="0"/>
    <n v="0"/>
    <s v="REG101477"/>
    <s v="Cust 1116"/>
    <n v="33.1"/>
    <d v="2024-02-29T00:00:00"/>
    <d v="2024-03-07T00:00:00"/>
    <x v="4"/>
  </r>
  <r>
    <x v="738"/>
    <x v="4"/>
    <x v="0"/>
    <n v="3"/>
    <n v="304.61"/>
    <x v="0"/>
    <x v="0"/>
    <x v="3"/>
    <x v="5"/>
    <n v="868.13850000000002"/>
    <x v="4"/>
    <x v="1"/>
    <n v="0"/>
    <s v="REG101478"/>
    <s v="Cust 8458"/>
    <n v="47.14"/>
    <d v="2023-05-11T00:00:00"/>
    <d v="2023-05-15T00:00:00"/>
    <x v="4"/>
  </r>
  <r>
    <x v="303"/>
    <x v="1"/>
    <x v="5"/>
    <n v="9"/>
    <n v="238.32"/>
    <x v="2"/>
    <x v="1"/>
    <x v="0"/>
    <x v="4"/>
    <n v="2144.88"/>
    <x v="4"/>
    <x v="2"/>
    <n v="1"/>
    <s v="REG101479"/>
    <s v="Cust 5409"/>
    <n v="8.5"/>
    <d v="2024-09-11T00:00:00"/>
    <d v="2024-09-20T00:00:00"/>
    <x v="1"/>
  </r>
  <r>
    <x v="739"/>
    <x v="4"/>
    <x v="6"/>
    <n v="16"/>
    <n v="483.37"/>
    <x v="0"/>
    <x v="1"/>
    <x v="1"/>
    <x v="1"/>
    <n v="6960.5280000000002"/>
    <x v="3"/>
    <x v="3"/>
    <n v="0"/>
    <s v="REG101480"/>
    <s v="Cust 8847"/>
    <n v="42.52"/>
    <d v="2024-08-16T00:00:00"/>
    <d v="2024-08-22T00:00:00"/>
    <x v="4"/>
  </r>
  <r>
    <x v="740"/>
    <x v="2"/>
    <x v="4"/>
    <n v="6"/>
    <n v="159.53"/>
    <x v="1"/>
    <x v="1"/>
    <x v="3"/>
    <x v="5"/>
    <n v="909.32100000000003"/>
    <x v="1"/>
    <x v="3"/>
    <n v="0"/>
    <s v="REG101481"/>
    <s v="Cust 7857"/>
    <n v="48.6"/>
    <d v="2025-05-30T00:00:00"/>
    <d v="2025-06-07T00:00:00"/>
    <x v="2"/>
  </r>
  <r>
    <x v="530"/>
    <x v="0"/>
    <x v="2"/>
    <n v="19"/>
    <n v="280.60000000000002"/>
    <x v="1"/>
    <x v="0"/>
    <x v="1"/>
    <x v="2"/>
    <n v="4798.26"/>
    <x v="1"/>
    <x v="0"/>
    <n v="0"/>
    <s v="REG101482"/>
    <s v="Cust 7810"/>
    <n v="35.94"/>
    <d v="2023-08-22T00:00:00"/>
    <d v="2023-08-28T00:00:00"/>
    <x v="0"/>
  </r>
  <r>
    <x v="145"/>
    <x v="0"/>
    <x v="5"/>
    <n v="2"/>
    <n v="389.98"/>
    <x v="3"/>
    <x v="0"/>
    <x v="3"/>
    <x v="3"/>
    <n v="740.96199999999999"/>
    <x v="3"/>
    <x v="1"/>
    <n v="1"/>
    <s v="REG101483"/>
    <s v="Cust 5665"/>
    <n v="24.55"/>
    <d v="2024-01-23T00:00:00"/>
    <d v="2024-01-25T00:00:00"/>
    <x v="0"/>
  </r>
  <r>
    <x v="399"/>
    <x v="2"/>
    <x v="4"/>
    <n v="17"/>
    <n v="485.3"/>
    <x v="3"/>
    <x v="1"/>
    <x v="2"/>
    <x v="4"/>
    <n v="7012.585"/>
    <x v="4"/>
    <x v="2"/>
    <n v="0"/>
    <s v="REG101484"/>
    <s v="Cust 8015"/>
    <n v="37.94"/>
    <d v="2023-03-16T00:00:00"/>
    <d v="2023-03-23T00:00:00"/>
    <x v="2"/>
  </r>
  <r>
    <x v="120"/>
    <x v="1"/>
    <x v="0"/>
    <n v="4"/>
    <n v="472.24"/>
    <x v="3"/>
    <x v="1"/>
    <x v="0"/>
    <x v="1"/>
    <n v="1888.96"/>
    <x v="1"/>
    <x v="0"/>
    <n v="1"/>
    <s v="REG101485"/>
    <s v="Cust 7211"/>
    <n v="6.78"/>
    <d v="2025-05-16T00:00:00"/>
    <d v="2025-05-21T00:00:00"/>
    <x v="1"/>
  </r>
  <r>
    <x v="515"/>
    <x v="0"/>
    <x v="4"/>
    <n v="8"/>
    <n v="143.53"/>
    <x v="3"/>
    <x v="0"/>
    <x v="0"/>
    <x v="1"/>
    <n v="1148.24"/>
    <x v="4"/>
    <x v="2"/>
    <n v="0"/>
    <s v="REG101486"/>
    <s v="Cust 8705"/>
    <n v="9.1"/>
    <d v="2023-05-23T00:00:00"/>
    <d v="2023-05-29T00:00:00"/>
    <x v="0"/>
  </r>
  <r>
    <x v="40"/>
    <x v="2"/>
    <x v="3"/>
    <n v="5"/>
    <n v="159.91999999999999"/>
    <x v="0"/>
    <x v="0"/>
    <x v="0"/>
    <x v="3"/>
    <n v="799.59999999999991"/>
    <x v="4"/>
    <x v="1"/>
    <n v="0"/>
    <s v="REG101487"/>
    <s v="Cust 2905"/>
    <n v="10.86"/>
    <d v="2024-06-16T00:00:00"/>
    <d v="2024-06-23T00:00:00"/>
    <x v="2"/>
  </r>
  <r>
    <x v="741"/>
    <x v="3"/>
    <x v="4"/>
    <n v="13"/>
    <n v="447.34"/>
    <x v="1"/>
    <x v="0"/>
    <x v="3"/>
    <x v="2"/>
    <n v="5524.6489999999994"/>
    <x v="4"/>
    <x v="1"/>
    <n v="0"/>
    <s v="REG101488"/>
    <s v="Cust 5777"/>
    <n v="38.93"/>
    <d v="2025-01-28T00:00:00"/>
    <d v="2025-02-04T00:00:00"/>
    <x v="3"/>
  </r>
  <r>
    <x v="742"/>
    <x v="1"/>
    <x v="1"/>
    <n v="13"/>
    <n v="196.8"/>
    <x v="0"/>
    <x v="1"/>
    <x v="1"/>
    <x v="4"/>
    <n v="2302.56"/>
    <x v="4"/>
    <x v="3"/>
    <n v="0"/>
    <s v="REG101489"/>
    <s v="Cust 6695"/>
    <n v="10.119999999999999"/>
    <d v="2024-11-27T00:00:00"/>
    <d v="2024-12-07T00:00:00"/>
    <x v="1"/>
  </r>
  <r>
    <x v="743"/>
    <x v="3"/>
    <x v="3"/>
    <n v="3"/>
    <n v="485.81"/>
    <x v="1"/>
    <x v="0"/>
    <x v="1"/>
    <x v="0"/>
    <n v="1311.6869999999999"/>
    <x v="3"/>
    <x v="1"/>
    <n v="0"/>
    <s v="REG101490"/>
    <s v="Cust 1977"/>
    <n v="19.46"/>
    <d v="2023-10-09T00:00:00"/>
    <d v="2023-10-11T00:00:00"/>
    <x v="3"/>
  </r>
  <r>
    <x v="744"/>
    <x v="4"/>
    <x v="1"/>
    <n v="16"/>
    <n v="183.62"/>
    <x v="1"/>
    <x v="0"/>
    <x v="3"/>
    <x v="5"/>
    <n v="2791.0239999999999"/>
    <x v="1"/>
    <x v="2"/>
    <n v="0"/>
    <s v="REG101491"/>
    <s v="Cust 7979"/>
    <n v="6.56"/>
    <d v="2024-07-21T00:00:00"/>
    <d v="2024-07-31T00:00:00"/>
    <x v="4"/>
  </r>
  <r>
    <x v="691"/>
    <x v="0"/>
    <x v="4"/>
    <n v="2"/>
    <n v="373.07"/>
    <x v="1"/>
    <x v="1"/>
    <x v="3"/>
    <x v="4"/>
    <n v="708.83299999999997"/>
    <x v="2"/>
    <x v="0"/>
    <n v="0"/>
    <s v="REG101492"/>
    <s v="Cust 2437"/>
    <n v="26.9"/>
    <d v="2024-07-03T00:00:00"/>
    <d v="2024-07-07T00:00:00"/>
    <x v="0"/>
  </r>
  <r>
    <x v="745"/>
    <x v="4"/>
    <x v="4"/>
    <n v="17"/>
    <n v="527.67999999999995"/>
    <x v="0"/>
    <x v="0"/>
    <x v="0"/>
    <x v="4"/>
    <n v="8970.56"/>
    <x v="1"/>
    <x v="0"/>
    <n v="0"/>
    <s v="REG101493"/>
    <s v="Cust 2516"/>
    <n v="29.19"/>
    <d v="2024-09-24T00:00:00"/>
    <d v="2024-10-02T00:00:00"/>
    <x v="4"/>
  </r>
  <r>
    <x v="679"/>
    <x v="0"/>
    <x v="5"/>
    <n v="5"/>
    <n v="201.29"/>
    <x v="3"/>
    <x v="0"/>
    <x v="0"/>
    <x v="3"/>
    <n v="1006.45"/>
    <x v="0"/>
    <x v="0"/>
    <n v="0"/>
    <s v="REG101494"/>
    <s v="Cust 6791"/>
    <n v="49.13"/>
    <d v="2025-01-14T00:00:00"/>
    <d v="2025-01-21T00:00:00"/>
    <x v="0"/>
  </r>
  <r>
    <x v="130"/>
    <x v="4"/>
    <x v="2"/>
    <n v="13"/>
    <n v="134.56"/>
    <x v="3"/>
    <x v="1"/>
    <x v="3"/>
    <x v="3"/>
    <n v="1661.816"/>
    <x v="2"/>
    <x v="2"/>
    <n v="0"/>
    <s v="REG101495"/>
    <s v="Cust 5227"/>
    <n v="35.630000000000003"/>
    <d v="2025-02-17T00:00:00"/>
    <d v="2025-02-22T00:00:00"/>
    <x v="4"/>
  </r>
  <r>
    <x v="746"/>
    <x v="1"/>
    <x v="3"/>
    <n v="18"/>
    <n v="209.75"/>
    <x v="2"/>
    <x v="0"/>
    <x v="2"/>
    <x v="2"/>
    <n v="3209.1750000000002"/>
    <x v="3"/>
    <x v="0"/>
    <n v="0"/>
    <s v="REG101496"/>
    <s v="Cust 5559"/>
    <n v="45.93"/>
    <d v="2024-01-11T00:00:00"/>
    <d v="2024-01-17T00:00:00"/>
    <x v="1"/>
  </r>
  <r>
    <x v="480"/>
    <x v="0"/>
    <x v="2"/>
    <n v="1"/>
    <n v="272.5"/>
    <x v="1"/>
    <x v="0"/>
    <x v="0"/>
    <x v="0"/>
    <n v="272.5"/>
    <x v="1"/>
    <x v="2"/>
    <n v="0"/>
    <s v="REG101497"/>
    <s v="Cust 8981"/>
    <n v="35.56"/>
    <d v="2024-07-27T00:00:00"/>
    <d v="2024-08-03T00:00:00"/>
    <x v="0"/>
  </r>
  <r>
    <x v="581"/>
    <x v="3"/>
    <x v="4"/>
    <n v="14"/>
    <n v="262.67"/>
    <x v="1"/>
    <x v="1"/>
    <x v="3"/>
    <x v="3"/>
    <n v="3493.511"/>
    <x v="1"/>
    <x v="1"/>
    <n v="0"/>
    <s v="REG101498"/>
    <s v="Cust 1824"/>
    <n v="24.53"/>
    <d v="2024-12-03T00:00:00"/>
    <d v="2024-12-10T00:00:00"/>
    <x v="3"/>
  </r>
  <r>
    <x v="589"/>
    <x v="4"/>
    <x v="3"/>
    <n v="13"/>
    <n v="221.39"/>
    <x v="3"/>
    <x v="0"/>
    <x v="0"/>
    <x v="2"/>
    <n v="2878.07"/>
    <x v="3"/>
    <x v="0"/>
    <n v="1"/>
    <s v="REG101499"/>
    <s v="Cust 1935"/>
    <n v="21.05"/>
    <d v="2025-05-09T00:00:00"/>
    <d v="2025-05-13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66EC2-92E0-415B-9BC5-B6931EE2AF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J3:K1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Returned" fld="12"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C0417-DCE3-4CAB-A795-DA38BE901C1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G3:H1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Count of OrderID" fld="13"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DA49F-D030-4505-8C17-D4844852F0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fieldListSortAscending="1">
  <location ref="D3:E1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Quantity"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D0F4E2-789A-4C41-BF9E-0EE2EB9F6D6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fieldListSortAscending="1">
  <location ref="A3:B1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Price"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0CF38C-0F1D-455C-A654-B14F4B5C25B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TotalPrice" fld="9" baseField="0" baseItem="0"/>
  </dataFields>
  <formats count="1">
    <format dxfId="62">
      <pivotArea collapsedLevelsAreSubtotals="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78FE0F-A59A-4160-8BF3-5B72F2ABDA2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B8"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axis="axisRow" showAll="0">
      <items count="5">
        <item x="0"/>
        <item x="3"/>
        <item x="1"/>
        <item x="2"/>
        <item t="default"/>
      </items>
    </pivotField>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7"/>
  </rowFields>
  <rowItems count="5">
    <i>
      <x/>
    </i>
    <i>
      <x v="1"/>
    </i>
    <i>
      <x v="2"/>
    </i>
    <i>
      <x v="3"/>
    </i>
    <i t="grand">
      <x/>
    </i>
  </rowItems>
  <colItems count="1">
    <i/>
  </colItems>
  <dataFields count="1">
    <dataField name="Sum of TotalPrice"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F44C2E-31C8-49CC-BE2F-C6A37EAFC45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fieldListSortAscending="1">
  <location ref="A3:B8"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axis="axisRow" showAll="0">
      <items count="5">
        <item x="0"/>
        <item x="1"/>
        <item x="2"/>
        <item x="3"/>
        <item t="default"/>
      </items>
    </pivotField>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11"/>
  </rowFields>
  <rowItems count="5">
    <i>
      <x/>
    </i>
    <i>
      <x v="1"/>
    </i>
    <i>
      <x v="2"/>
    </i>
    <i>
      <x v="3"/>
    </i>
    <i t="grand">
      <x/>
    </i>
  </rowItems>
  <colItems count="1">
    <i/>
  </colItems>
  <dataFields count="1">
    <dataField name="Sum of TotalPrice" fld="9" baseField="0" baseItem="0"/>
  </dataFields>
  <formats count="1">
    <format dxfId="61">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DC4845-F36A-47ED-BF7F-031E29CACB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Price" fld="9" showDataAs="percentOfTotal" baseField="0" baseItem="0" numFmtId="10"/>
  </dataFields>
  <chartFormats count="12">
    <chartFormat chart="7" format="0"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17" format="8">
      <pivotArea type="data" outline="0" fieldPosition="0">
        <references count="2">
          <reference field="4294967294" count="1" selected="0">
            <x v="0"/>
          </reference>
          <reference field="1" count="1" selected="0">
            <x v="0"/>
          </reference>
        </references>
      </pivotArea>
    </chartFormat>
    <chartFormat chart="17" format="9">
      <pivotArea type="data" outline="0" fieldPosition="0">
        <references count="2">
          <reference field="4294967294" count="1" selected="0">
            <x v="0"/>
          </reference>
          <reference field="1" count="1" selected="0">
            <x v="1"/>
          </reference>
        </references>
      </pivotArea>
    </chartFormat>
    <chartFormat chart="17" format="10">
      <pivotArea type="data" outline="0" fieldPosition="0">
        <references count="2">
          <reference field="4294967294" count="1" selected="0">
            <x v="0"/>
          </reference>
          <reference field="1" count="1" selected="0">
            <x v="2"/>
          </reference>
        </references>
      </pivotArea>
    </chartFormat>
    <chartFormat chart="17" format="11">
      <pivotArea type="data" outline="0" fieldPosition="0">
        <references count="2">
          <reference field="4294967294" count="1" selected="0">
            <x v="0"/>
          </reference>
          <reference field="1" count="1" selected="0">
            <x v="3"/>
          </reference>
        </references>
      </pivotArea>
    </chartFormat>
    <chartFormat chart="17" format="12">
      <pivotArea type="data" outline="0" fieldPosition="0">
        <references count="2">
          <reference field="4294967294" count="1" selected="0">
            <x v="0"/>
          </reference>
          <reference field="1" count="1" selected="0">
            <x v="4"/>
          </reference>
        </references>
      </pivotArea>
    </chartFormat>
    <chartFormat chart="7" format="1">
      <pivotArea type="data" outline="0" fieldPosition="0">
        <references count="2">
          <reference field="4294967294" count="1" selected="0">
            <x v="0"/>
          </reference>
          <reference field="1" count="1" selected="0">
            <x v="0"/>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 chart="7" format="4">
      <pivotArea type="data" outline="0" fieldPosition="0">
        <references count="2">
          <reference field="4294967294" count="1" selected="0">
            <x v="0"/>
          </reference>
          <reference field="1" count="1" selected="0">
            <x v="3"/>
          </reference>
        </references>
      </pivotArea>
    </chartFormat>
    <chartFormat chart="7"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B25667-BCF9-435E-9571-3594A733D1C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fieldListSortAscending="1">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axis="axisRow"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2"/>
  </rowFields>
  <rowItems count="8">
    <i>
      <x/>
    </i>
    <i>
      <x v="1"/>
    </i>
    <i>
      <x v="2"/>
    </i>
    <i>
      <x v="3"/>
    </i>
    <i>
      <x v="4"/>
    </i>
    <i>
      <x v="5"/>
    </i>
    <i>
      <x v="6"/>
    </i>
    <i t="grand">
      <x/>
    </i>
  </rowItems>
  <colItems count="1">
    <i/>
  </colItems>
  <dataFields count="1">
    <dataField name="Sum of Returned" fld="12" baseField="0" baseItem="0"/>
  </dataFields>
  <chartFormats count="3">
    <chartFormat chart="4"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563C19-B46D-42DD-A8AB-CA64AF3D703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fieldListSortAscending="1">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axis="axisRow" showAll="0">
      <items count="6">
        <item x="3"/>
        <item x="0"/>
        <item x="2"/>
        <item x="1"/>
        <item x="4"/>
        <item t="default"/>
      </items>
    </pivotField>
    <pivotField showAll="0" defaultSubtotal="0"/>
    <pivotField showAll="0" defaultSubtotal="0"/>
    <pivotField showAll="0" defaultSubtotal="0">
      <items count="5">
        <item x="0"/>
        <item x="1"/>
        <item x="2"/>
        <item x="3"/>
        <item x="4"/>
      </items>
    </pivotField>
  </pivotFields>
  <rowFields count="1">
    <field x="18"/>
  </rowFields>
  <rowItems count="6">
    <i>
      <x/>
    </i>
    <i>
      <x v="1"/>
    </i>
    <i>
      <x v="2"/>
    </i>
    <i>
      <x v="3"/>
    </i>
    <i>
      <x v="4"/>
    </i>
    <i t="grand">
      <x/>
    </i>
  </rowItems>
  <colItems count="1">
    <i/>
  </colItems>
  <dataFields count="1">
    <dataField name="Sum of TotalPrice" fld="9" baseField="0" baseItem="0"/>
  </dataFields>
  <formats count="1">
    <format dxfId="60">
      <pivotArea collapsedLevelsAreSubtotals="1" fieldPosition="0">
        <references count="1">
          <reference field="18" count="0"/>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2"/>
          </reference>
        </references>
      </pivotArea>
    </chartFormat>
    <chartFormat chart="17"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8F1B56-00F1-4F76-95F0-02F3C3BDD74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A3:B10"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axis="axisRow" showAll="0">
      <items count="7">
        <item x="1"/>
        <item x="5"/>
        <item x="3"/>
        <item x="4"/>
        <item x="0"/>
        <item x="2"/>
        <item t="default"/>
      </items>
    </pivotField>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8"/>
  </rowFields>
  <rowItems count="7">
    <i>
      <x/>
    </i>
    <i>
      <x v="1"/>
    </i>
    <i>
      <x v="2"/>
    </i>
    <i>
      <x v="3"/>
    </i>
    <i>
      <x v="4"/>
    </i>
    <i>
      <x v="5"/>
    </i>
    <i t="grand">
      <x/>
    </i>
  </rowItems>
  <colItems count="1">
    <i/>
  </colItems>
  <dataFields count="1">
    <dataField name="Sum of TotalPrice" fld="9" baseField="0" baseItem="0"/>
  </dataFields>
  <formats count="1">
    <format dxfId="59">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4B309F-1892-475A-8046-094E8192871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6"/>
  </rowFields>
  <rowItems count="3">
    <i>
      <x/>
    </i>
    <i>
      <x v="1"/>
    </i>
    <i t="grand">
      <x/>
    </i>
  </rowItems>
  <colItems count="1">
    <i/>
  </colItems>
  <dataFields count="1">
    <dataField name="Sum of TotalPrice" fld="9" showDataAs="percentOfTotal" baseField="0" baseItem="0" numFmtId="10"/>
  </dataFields>
  <formats count="2">
    <format dxfId="58">
      <pivotArea collapsedLevelsAreSubtotals="1" fieldPosition="0">
        <references count="1">
          <reference field="6" count="0"/>
        </references>
      </pivotArea>
    </format>
    <format dxfId="57">
      <pivotArea outline="0" fieldPosition="0">
        <references count="1">
          <reference field="4294967294" count="1">
            <x v="0"/>
          </reference>
        </references>
      </pivotArea>
    </format>
  </formats>
  <chartFormats count="6">
    <chartFormat chart="9" format="0"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6" count="1" selected="0">
            <x v="0"/>
          </reference>
        </references>
      </pivotArea>
    </chartFormat>
    <chartFormat chart="17" format="6">
      <pivotArea type="data" outline="0" fieldPosition="0">
        <references count="2">
          <reference field="4294967294" count="1" selected="0">
            <x v="0"/>
          </reference>
          <reference field="6" count="1" selected="0">
            <x v="1"/>
          </reference>
        </references>
      </pivotArea>
    </chartFormat>
    <chartFormat chart="9" format="1">
      <pivotArea type="data" outline="0" fieldPosition="0">
        <references count="2">
          <reference field="4294967294" count="1" selected="0">
            <x v="0"/>
          </reference>
          <reference field="6" count="1" selected="0">
            <x v="0"/>
          </reference>
        </references>
      </pivotArea>
    </chartFormat>
    <chartFormat chart="9"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DA21B9-C7AA-40A3-99CD-E28049CDFAD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A3:B8"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axis="axisRow" showAll="0">
      <items count="5">
        <item x="1"/>
        <item x="0"/>
        <item x="2"/>
        <item x="3"/>
        <item t="default"/>
      </items>
    </pivotField>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t="grand">
      <x/>
    </i>
  </rowItems>
  <colItems count="1">
    <i/>
  </colItems>
  <dataFields count="1">
    <dataField name="Sum of TotalPrice" fld="9" showDataAs="percentOfTotal" baseField="0" baseItem="0" numFmtId="10"/>
  </dataFields>
  <formats count="2">
    <format dxfId="56">
      <pivotArea collapsedLevelsAreSubtotals="1" fieldPosition="0">
        <references count="1">
          <reference field="5" count="0"/>
        </references>
      </pivotArea>
    </format>
    <format dxfId="55">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708BAD-BFDB-4727-BC77-D13FF85FFF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6"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9"/>
  </rowFields>
  <rowItems count="13">
    <i>
      <x v="1"/>
    </i>
    <i>
      <x v="2"/>
    </i>
    <i>
      <x v="3"/>
    </i>
    <i>
      <x v="4"/>
    </i>
    <i>
      <x v="5"/>
    </i>
    <i>
      <x v="6"/>
    </i>
    <i>
      <x v="7"/>
    </i>
    <i>
      <x v="8"/>
    </i>
    <i>
      <x v="9"/>
    </i>
    <i>
      <x v="10"/>
    </i>
    <i>
      <x v="11"/>
    </i>
    <i>
      <x v="12"/>
    </i>
    <i t="grand">
      <x/>
    </i>
  </rowItems>
  <colItems count="1">
    <i/>
  </colItems>
  <dataFields count="1">
    <dataField name="Sum of TotalPrice" fld="9" baseField="0" baseItem="0" numFmtId="165"/>
  </dataFields>
  <formats count="1">
    <format dxfId="54">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6"/>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52C6DF-70D9-4625-A164-FF4452BE1BCE}"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items count="3">
        <item x="1"/>
        <item x="0"/>
        <item t="default"/>
      </items>
    </pivotField>
    <pivotField showAll="0"/>
    <pivotField showAll="0"/>
    <pivotField dataField="1" showAll="0"/>
    <pivotField axis="axisRow"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 showAll="0" defaultSubtotal="0"/>
    <pivotField showAll="0" defaultSubtotal="0"/>
    <pivotField showAll="0" defaultSubtotal="0">
      <items count="5">
        <item x="0"/>
        <item x="1"/>
        <item x="2"/>
        <item x="3"/>
        <item x="4"/>
      </items>
    </pivotField>
  </pivotFields>
  <rowFields count="1">
    <field x="10"/>
  </rowFields>
  <rowItems count="6">
    <i>
      <x/>
    </i>
    <i>
      <x v="1"/>
    </i>
    <i>
      <x v="2"/>
    </i>
    <i>
      <x v="3"/>
    </i>
    <i>
      <x v="4"/>
    </i>
    <i t="grand">
      <x/>
    </i>
  </rowItems>
  <colItems count="1">
    <i/>
  </colItems>
  <dataFields count="1">
    <dataField name="Sum of TotalPrice" fld="9"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0" count="1" selected="0">
            <x v="0"/>
          </reference>
        </references>
      </pivotArea>
    </chartFormat>
    <chartFormat chart="7" format="9">
      <pivotArea type="data" outline="0" fieldPosition="0">
        <references count="2">
          <reference field="4294967294" count="1" selected="0">
            <x v="0"/>
          </reference>
          <reference field="10" count="1" selected="0">
            <x v="1"/>
          </reference>
        </references>
      </pivotArea>
    </chartFormat>
    <chartFormat chart="7" format="10">
      <pivotArea type="data" outline="0" fieldPosition="0">
        <references count="2">
          <reference field="4294967294" count="1" selected="0">
            <x v="0"/>
          </reference>
          <reference field="10" count="1" selected="0">
            <x v="2"/>
          </reference>
        </references>
      </pivotArea>
    </chartFormat>
    <chartFormat chart="7" format="11">
      <pivotArea type="data" outline="0" fieldPosition="0">
        <references count="2">
          <reference field="4294967294" count="1" selected="0">
            <x v="0"/>
          </reference>
          <reference field="10" count="1" selected="0">
            <x v="3"/>
          </reference>
        </references>
      </pivotArea>
    </chartFormat>
    <chartFormat chart="7"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545EA0-0E7E-4667-BEA1-84F5D63BD2E6}" sourceName="Region">
  <pivotTables>
    <pivotTable tabId="4" name="PivotTable5"/>
    <pivotTable tabId="8" name="PivotTable12"/>
    <pivotTable tabId="14" name="PivotTable17"/>
    <pivotTable tabId="10" name="PivotTable13"/>
    <pivotTable tabId="3" name="PivotTable1"/>
    <pivotTable tabId="3" name="PivotTable2"/>
    <pivotTable tabId="3" name="PivotTable3"/>
    <pivotTable tabId="3" name="PivotTable4"/>
    <pivotTable tabId="7" name="PivotTable11"/>
    <pivotTable tabId="17" name="PivotTable23"/>
    <pivotTable tabId="13" name="PivotTable16"/>
    <pivotTable tabId="5" name="PivotTable6"/>
    <pivotTable tabId="16" name="PivotTable22"/>
    <pivotTable tabId="11" name="PivotTable14"/>
    <pivotTable tabId="12" name="PivotTable15"/>
  </pivotTables>
  <data>
    <tabular pivotCacheId="1099307386">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0C412E9-EEF1-4061-A7D3-27BED3DA37E7}" sourceName="Product">
  <pivotTables>
    <pivotTable tabId="4" name="PivotTable5"/>
    <pivotTable tabId="8" name="PivotTable12"/>
    <pivotTable tabId="14" name="PivotTable17"/>
    <pivotTable tabId="10" name="PivotTable13"/>
    <pivotTable tabId="3" name="PivotTable1"/>
    <pivotTable tabId="3" name="PivotTable2"/>
    <pivotTable tabId="3" name="PivotTable3"/>
    <pivotTable tabId="3" name="PivotTable4"/>
    <pivotTable tabId="7" name="PivotTable11"/>
    <pivotTable tabId="17" name="PivotTable23"/>
    <pivotTable tabId="13" name="PivotTable16"/>
    <pivotTable tabId="5" name="PivotTable6"/>
    <pivotTable tabId="16" name="PivotTable22"/>
    <pivotTable tabId="11" name="PivotTable14"/>
    <pivotTable tabId="12" name="PivotTable15"/>
  </pivotTables>
  <data>
    <tabular pivotCacheId="1099307386">
      <items count="7">
        <i x="3" s="1"/>
        <i x="2" s="1"/>
        <i x="0" s="1"/>
        <i x="4" s="1"/>
        <i x="1"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Type" xr10:uid="{05E7E0E8-C555-42B1-A2F8-0195EFE9B6CF}" sourceName="CustomerType">
  <pivotTables>
    <pivotTable tabId="4" name="PivotTable5"/>
    <pivotTable tabId="8" name="PivotTable12"/>
    <pivotTable tabId="14" name="PivotTable17"/>
    <pivotTable tabId="10" name="PivotTable13"/>
    <pivotTable tabId="3" name="PivotTable1"/>
    <pivotTable tabId="3" name="PivotTable2"/>
    <pivotTable tabId="3" name="PivotTable3"/>
    <pivotTable tabId="3" name="PivotTable4"/>
    <pivotTable tabId="7" name="PivotTable11"/>
    <pivotTable tabId="17" name="PivotTable23"/>
    <pivotTable tabId="13" name="PivotTable16"/>
    <pivotTable tabId="5" name="PivotTable6"/>
    <pivotTable tabId="16" name="PivotTable22"/>
    <pivotTable tabId="11" name="PivotTable14"/>
    <pivotTable tabId="12" name="PivotTable15"/>
  </pivotTables>
  <data>
    <tabular pivotCacheId="109930738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CB15A4C-8B40-4C11-9D9F-14C8FC401CD0}" sourceName="Years (Date)">
  <pivotTables>
    <pivotTable tabId="7" name="PivotTable11"/>
    <pivotTable tabId="8" name="PivotTable12"/>
    <pivotTable tabId="14" name="PivotTable17"/>
    <pivotTable tabId="10" name="PivotTable13"/>
    <pivotTable tabId="3" name="PivotTable1"/>
    <pivotTable tabId="3" name="PivotTable2"/>
    <pivotTable tabId="3" name="PivotTable3"/>
    <pivotTable tabId="3" name="PivotTable4"/>
    <pivotTable tabId="17" name="PivotTable23"/>
    <pivotTable tabId="13" name="PivotTable16"/>
    <pivotTable tabId="5" name="PivotTable6"/>
    <pivotTable tabId="16" name="PivotTable22"/>
    <pivotTable tabId="4" name="PivotTable5"/>
    <pivotTable tabId="11" name="PivotTable14"/>
    <pivotTable tabId="12" name="PivotTable15"/>
  </pivotTables>
  <data>
    <tabular pivotCacheId="109930738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6CA9BD8A-CDA1-45A7-966C-40B06B7769D0}" cache="Slicer_Years__Date" caption="Years (Date)" style="SlicerStyleLight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42B6E09-1810-4DA8-927A-6DE0FAA2DC3E}" cache="Slicer_Region" caption="Region" style="SlicerStyleLight3" rowHeight="234950"/>
  <slicer name="Product" xr10:uid="{DB3C32E1-78C8-4D75-9572-EBA82A1378C0}" cache="Slicer_Product" caption="Product" style="SlicerStyleLight3" rowHeight="234950"/>
  <slicer name="CustomerType" xr10:uid="{6FA182F2-BFE8-4B92-9D87-AE7D75B995C9}" cache="Slicer_CustomerType" caption="CustomerType"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5C0AA26-DCEE-4243-966B-C9F05315A089}" cache="Slicer_Region" caption="Region" columnCount="3" style="SlicerStyleLight3" rowHeight="234950"/>
  <slicer name="Product 1" xr10:uid="{C7168AB6-4291-43E5-808F-1DA281A49DE2}" cache="Slicer_Product" caption="Product" columnCount="2" style="SlicerStyleLight3" rowHeight="234950"/>
  <slicer name="CustomerType 1" xr10:uid="{F1E2AF67-89ED-47DD-9DAD-23E7024DD914}" cache="Slicer_CustomerType" caption="CustomerType" columnCount="2" style="SlicerStyleLight3" rowHeight="234950"/>
  <slicer name="Years (Date) 1" xr10:uid="{A76B45D5-7E01-4A10-9A42-7B307D9D12E1}" cache="Slicer_Years__Date" caption="Years (Date)"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809656-8DDB-40E0-8B50-FA82F6387E51}" name="Table3" displayName="Table3" ref="A3:S179" totalsRowShown="0">
  <autoFilter ref="A3:S179" xr:uid="{5D809656-8DDB-40E0-8B50-FA82F6387E51}"/>
  <tableColumns count="19">
    <tableColumn id="1" xr3:uid="{BE0186AF-DAEF-4C08-A28E-944B4BED325D}" name="Date" dataDxfId="53"/>
    <tableColumn id="2" xr3:uid="{CB013713-8671-47F9-B617-6B4FC6741CDA}" name="Region"/>
    <tableColumn id="3" xr3:uid="{44EBC6B3-0CE3-4AB1-A94D-8F96F82189CF}" name="Product"/>
    <tableColumn id="4" xr3:uid="{2C8D0139-701D-43D5-9E7C-65CB96145528}" name="Quantity"/>
    <tableColumn id="5" xr3:uid="{B57C8DB7-C910-45D9-9677-C9853218220F}" name="UnitPrice"/>
    <tableColumn id="6" xr3:uid="{BDBF12AB-4E17-4379-BAFE-066858F81F7F}" name="StoreLocation"/>
    <tableColumn id="7" xr3:uid="{8B1D844A-D0B0-4DBA-9E57-6488A51EADD7}" name="CustomerType"/>
    <tableColumn id="8" xr3:uid="{AA2FB969-2555-49A5-8B18-A6E7CD56E6C3}" name="Discount"/>
    <tableColumn id="9" xr3:uid="{644F0EF1-9DC6-4974-A246-E965EEEA3973}" name="Salesperson"/>
    <tableColumn id="10" xr3:uid="{E37FD926-5351-4A00-A716-1213CF25B896}" name="TotalPrice"/>
    <tableColumn id="11" xr3:uid="{2015F0C7-ED98-4189-9C92-CD97C790DE0F}" name="PaymentMethod"/>
    <tableColumn id="12" xr3:uid="{0BF8FAD4-8622-486B-913F-038DE878107F}" name="Promotion"/>
    <tableColumn id="13" xr3:uid="{B600B8C4-0579-4B41-84EF-542F11E61061}" name="Returned"/>
    <tableColumn id="14" xr3:uid="{C305B107-67EB-4EAA-9939-1F2E85089B03}" name="OrderID"/>
    <tableColumn id="15" xr3:uid="{746D0013-C59D-49AC-A192-DE8C8B67F3A3}" name="CustomerName"/>
    <tableColumn id="16" xr3:uid="{23908F2C-ACAB-42A7-9496-EDF408606EA1}" name="ShippingCost"/>
    <tableColumn id="17" xr3:uid="{8AD4EE38-EA06-4DC1-81CC-CEAC5E6B3292}" name="OrderDate" dataDxfId="52"/>
    <tableColumn id="18" xr3:uid="{9D4C69AB-74D6-43BB-A0D5-26E4C4B4DD2C}" name="DeliveryDate" dataDxfId="51"/>
    <tableColumn id="19" xr3:uid="{A62C4AEF-FC0D-4254-9C89-665348E70152}" name="RegionManag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233CD-355C-48C7-BA76-56E771B45A62}" name="Table1" displayName="Table1" ref="A1:S1501" totalsRowShown="0" headerRowDxfId="50" headerRowBorderDxfId="49" tableBorderDxfId="48">
  <autoFilter ref="A1:S1501" xr:uid="{DE8233CD-355C-48C7-BA76-56E771B45A62}"/>
  <tableColumns count="19">
    <tableColumn id="1" xr3:uid="{E45D333A-EC7F-47D8-A46D-5C9230C93D9F}" name="Date" dataDxfId="47"/>
    <tableColumn id="2" xr3:uid="{39B13CF4-1A78-44E8-93C4-9FE9830E962E}" name="Region"/>
    <tableColumn id="3" xr3:uid="{06733217-67FE-4D32-A646-7B00D43CA82E}" name="Product"/>
    <tableColumn id="4" xr3:uid="{46F7273C-19BD-4BEB-AFFE-7868AE727907}" name="Quantity"/>
    <tableColumn id="5" xr3:uid="{7ADD6833-4984-42CA-91EA-9FD102245A6A}" name="UnitPrice"/>
    <tableColumn id="6" xr3:uid="{EEC776D1-70B5-4D80-8470-3CC0501378DD}" name="StoreLocation"/>
    <tableColumn id="7" xr3:uid="{8B1274D3-E1E5-45BE-B341-D35776D5D7B8}" name="CustomerType"/>
    <tableColumn id="8" xr3:uid="{79DC2221-B051-4A48-B748-BA5E340EC19E}" name="Discount"/>
    <tableColumn id="9" xr3:uid="{DA609532-4565-4386-ACA5-FCF3FE315150}" name="Salesperson"/>
    <tableColumn id="10" xr3:uid="{0C3807B7-DA58-4A01-A156-45F8489E111B}" name="TotalPrice"/>
    <tableColumn id="11" xr3:uid="{7581EC00-C95C-4F57-B279-160B0CBC691E}" name="PaymentMethod"/>
    <tableColumn id="12" xr3:uid="{9E4B9453-34AF-4D17-902A-FF1995A1E4B3}" name="Promotion"/>
    <tableColumn id="13" xr3:uid="{A4C64585-A65C-4359-BA2A-AE3C951748F6}" name="Returned"/>
    <tableColumn id="14" xr3:uid="{EC072EC4-441C-47FC-AA9A-FE747905D927}" name="OrderID"/>
    <tableColumn id="15" xr3:uid="{CD57A4D2-E41B-4C20-A2AC-C82D38521BDC}" name="CustomerName"/>
    <tableColumn id="16" xr3:uid="{046E1CF1-CC1C-4D4D-B092-50BAF71FF255}" name="ShippingCost"/>
    <tableColumn id="17" xr3:uid="{2BAD6816-1224-409A-A3E7-1B57A899B542}" name="OrderDate" dataDxfId="46"/>
    <tableColumn id="18" xr3:uid="{E0274CBE-72D0-4112-97C5-D971A1BB428C}" name="DeliveryDate" dataDxfId="45"/>
    <tableColumn id="19" xr3:uid="{3FB9FB08-2131-4F0F-98B6-85367660A451}" name="RegionManager"/>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EABC-B653-428B-81D4-203516953CE8}">
  <dimension ref="A3:K17"/>
  <sheetViews>
    <sheetView workbookViewId="0">
      <selection activeCell="G3" sqref="G3"/>
    </sheetView>
  </sheetViews>
  <sheetFormatPr defaultRowHeight="14.4" x14ac:dyDescent="0.3"/>
  <cols>
    <col min="1" max="1" width="12.5546875" bestFit="1" customWidth="1"/>
    <col min="2" max="2" width="15.88671875" bestFit="1" customWidth="1"/>
    <col min="4" max="4" width="12.5546875" bestFit="1" customWidth="1"/>
    <col min="5" max="5" width="14.88671875" bestFit="1" customWidth="1"/>
    <col min="7" max="7" width="12.5546875" bestFit="1" customWidth="1"/>
    <col min="8" max="8" width="15.44140625" bestFit="1" customWidth="1"/>
    <col min="10" max="10" width="12.5546875" bestFit="1" customWidth="1"/>
    <col min="11" max="11" width="15.33203125" bestFit="1" customWidth="1"/>
  </cols>
  <sheetData>
    <row r="3" spans="1:11" x14ac:dyDescent="0.3">
      <c r="A3" s="3" t="s">
        <v>2927</v>
      </c>
      <c r="B3" t="s">
        <v>2941</v>
      </c>
      <c r="D3" s="3" t="s">
        <v>2927</v>
      </c>
      <c r="E3" t="s">
        <v>2942</v>
      </c>
      <c r="G3" s="3" t="s">
        <v>2927</v>
      </c>
      <c r="H3" t="s">
        <v>2943</v>
      </c>
      <c r="J3" s="3" t="s">
        <v>2927</v>
      </c>
      <c r="K3" t="s">
        <v>2944</v>
      </c>
    </row>
    <row r="4" spans="1:11" x14ac:dyDescent="0.3">
      <c r="A4" s="4" t="s">
        <v>2929</v>
      </c>
      <c r="B4" s="13">
        <v>498358.50149999995</v>
      </c>
      <c r="D4" s="4" t="s">
        <v>2929</v>
      </c>
      <c r="E4" s="13">
        <v>1832</v>
      </c>
      <c r="G4" s="4" t="s">
        <v>2929</v>
      </c>
      <c r="H4" s="13">
        <v>176</v>
      </c>
      <c r="J4" s="4" t="s">
        <v>2929</v>
      </c>
      <c r="K4" s="13">
        <v>32</v>
      </c>
    </row>
    <row r="5" spans="1:11" x14ac:dyDescent="0.3">
      <c r="A5" s="4" t="s">
        <v>2930</v>
      </c>
      <c r="B5" s="13">
        <v>415057.81349999999</v>
      </c>
      <c r="D5" s="4" t="s">
        <v>2930</v>
      </c>
      <c r="E5" s="13">
        <v>1572</v>
      </c>
      <c r="G5" s="4" t="s">
        <v>2930</v>
      </c>
      <c r="H5" s="13">
        <v>149</v>
      </c>
      <c r="J5" s="4" t="s">
        <v>2930</v>
      </c>
      <c r="K5" s="13">
        <v>32</v>
      </c>
    </row>
    <row r="6" spans="1:11" x14ac:dyDescent="0.3">
      <c r="A6" s="4" t="s">
        <v>2931</v>
      </c>
      <c r="B6" s="13">
        <v>532090.95349999995</v>
      </c>
      <c r="D6" s="4" t="s">
        <v>2931</v>
      </c>
      <c r="E6" s="13">
        <v>1811</v>
      </c>
      <c r="G6" s="4" t="s">
        <v>2931</v>
      </c>
      <c r="H6" s="13">
        <v>174</v>
      </c>
      <c r="J6" s="4" t="s">
        <v>2931</v>
      </c>
      <c r="K6" s="13">
        <v>44</v>
      </c>
    </row>
    <row r="7" spans="1:11" x14ac:dyDescent="0.3">
      <c r="A7" s="4" t="s">
        <v>2932</v>
      </c>
      <c r="B7" s="13">
        <v>443318.72650000016</v>
      </c>
      <c r="D7" s="4" t="s">
        <v>2932</v>
      </c>
      <c r="E7" s="13">
        <v>1442</v>
      </c>
      <c r="G7" s="4" t="s">
        <v>2932</v>
      </c>
      <c r="H7" s="13">
        <v>144</v>
      </c>
      <c r="J7" s="4" t="s">
        <v>2932</v>
      </c>
      <c r="K7" s="13">
        <v>35</v>
      </c>
    </row>
    <row r="8" spans="1:11" x14ac:dyDescent="0.3">
      <c r="A8" s="4" t="s">
        <v>2933</v>
      </c>
      <c r="B8" s="13">
        <v>402408.02549999999</v>
      </c>
      <c r="D8" s="4" t="s">
        <v>2933</v>
      </c>
      <c r="E8" s="13">
        <v>1432</v>
      </c>
      <c r="G8" s="4" t="s">
        <v>2933</v>
      </c>
      <c r="H8" s="13">
        <v>140</v>
      </c>
      <c r="J8" s="4" t="s">
        <v>2933</v>
      </c>
      <c r="K8" s="13">
        <v>48</v>
      </c>
    </row>
    <row r="9" spans="1:11" x14ac:dyDescent="0.3">
      <c r="A9" s="4" t="s">
        <v>2934</v>
      </c>
      <c r="B9" s="13">
        <v>434261.66899999999</v>
      </c>
      <c r="D9" s="4" t="s">
        <v>2934</v>
      </c>
      <c r="E9" s="13">
        <v>1521</v>
      </c>
      <c r="G9" s="4" t="s">
        <v>2934</v>
      </c>
      <c r="H9" s="13">
        <v>154</v>
      </c>
      <c r="J9" s="4" t="s">
        <v>2934</v>
      </c>
      <c r="K9" s="13">
        <v>36</v>
      </c>
    </row>
    <row r="10" spans="1:11" x14ac:dyDescent="0.3">
      <c r="A10" s="4" t="s">
        <v>2935</v>
      </c>
      <c r="B10" s="13">
        <v>280050.04749999981</v>
      </c>
      <c r="D10" s="4" t="s">
        <v>2935</v>
      </c>
      <c r="E10" s="13">
        <v>1016</v>
      </c>
      <c r="G10" s="4" t="s">
        <v>2935</v>
      </c>
      <c r="H10" s="13">
        <v>98</v>
      </c>
      <c r="J10" s="4" t="s">
        <v>2935</v>
      </c>
      <c r="K10" s="13">
        <v>27</v>
      </c>
    </row>
    <row r="11" spans="1:11" x14ac:dyDescent="0.3">
      <c r="A11" s="4" t="s">
        <v>2936</v>
      </c>
      <c r="B11" s="13">
        <v>289639.00349999999</v>
      </c>
      <c r="D11" s="4" t="s">
        <v>2936</v>
      </c>
      <c r="E11" s="13">
        <v>1054</v>
      </c>
      <c r="G11" s="4" t="s">
        <v>2936</v>
      </c>
      <c r="H11" s="13">
        <v>102</v>
      </c>
      <c r="J11" s="4" t="s">
        <v>2936</v>
      </c>
      <c r="K11" s="13">
        <v>26</v>
      </c>
    </row>
    <row r="12" spans="1:11" x14ac:dyDescent="0.3">
      <c r="A12" s="4" t="s">
        <v>2937</v>
      </c>
      <c r="B12" s="13">
        <v>282114.64899999998</v>
      </c>
      <c r="D12" s="4" t="s">
        <v>2937</v>
      </c>
      <c r="E12" s="13">
        <v>998</v>
      </c>
      <c r="G12" s="4" t="s">
        <v>2937</v>
      </c>
      <c r="H12" s="13">
        <v>89</v>
      </c>
      <c r="J12" s="4" t="s">
        <v>2937</v>
      </c>
      <c r="K12" s="13">
        <v>23</v>
      </c>
    </row>
    <row r="13" spans="1:11" x14ac:dyDescent="0.3">
      <c r="A13" s="4" t="s">
        <v>2938</v>
      </c>
      <c r="B13" s="13">
        <v>256612.897</v>
      </c>
      <c r="D13" s="4" t="s">
        <v>2938</v>
      </c>
      <c r="E13" s="13">
        <v>958</v>
      </c>
      <c r="G13" s="4" t="s">
        <v>2938</v>
      </c>
      <c r="H13" s="13">
        <v>89</v>
      </c>
      <c r="J13" s="4" t="s">
        <v>2938</v>
      </c>
      <c r="K13" s="13">
        <v>24</v>
      </c>
    </row>
    <row r="14" spans="1:11" x14ac:dyDescent="0.3">
      <c r="A14" s="4" t="s">
        <v>2939</v>
      </c>
      <c r="B14" s="13">
        <v>283330.62000000005</v>
      </c>
      <c r="D14" s="4" t="s">
        <v>2939</v>
      </c>
      <c r="E14" s="13">
        <v>1047</v>
      </c>
      <c r="G14" s="4" t="s">
        <v>2939</v>
      </c>
      <c r="H14" s="13">
        <v>98</v>
      </c>
      <c r="J14" s="4" t="s">
        <v>2939</v>
      </c>
      <c r="K14" s="13">
        <v>25</v>
      </c>
    </row>
    <row r="15" spans="1:11" x14ac:dyDescent="0.3">
      <c r="A15" s="4" t="s">
        <v>2940</v>
      </c>
      <c r="B15" s="13">
        <v>262749.522</v>
      </c>
      <c r="D15" s="4" t="s">
        <v>2940</v>
      </c>
      <c r="E15" s="13">
        <v>933</v>
      </c>
      <c r="G15" s="4" t="s">
        <v>2940</v>
      </c>
      <c r="H15" s="13">
        <v>87</v>
      </c>
      <c r="J15" s="4" t="s">
        <v>2940</v>
      </c>
      <c r="K15" s="13">
        <v>20</v>
      </c>
    </row>
    <row r="16" spans="1:11" x14ac:dyDescent="0.3">
      <c r="A16" s="4" t="s">
        <v>2928</v>
      </c>
      <c r="B16" s="13">
        <v>4379992.4284999995</v>
      </c>
      <c r="D16" s="4" t="s">
        <v>2928</v>
      </c>
      <c r="E16" s="13">
        <v>15616</v>
      </c>
      <c r="G16" s="4" t="s">
        <v>2928</v>
      </c>
      <c r="H16" s="13">
        <v>1500</v>
      </c>
      <c r="J16" s="4" t="s">
        <v>2928</v>
      </c>
      <c r="K16" s="13">
        <v>372</v>
      </c>
    </row>
    <row r="17" spans="2:11" x14ac:dyDescent="0.3">
      <c r="B17" s="5">
        <f>GETPIVOTDATA("TotalPrice",$A$3)</f>
        <v>4379992.4284999995</v>
      </c>
      <c r="E17" s="6">
        <f>GETPIVOTDATA("Quantity",$D$3)</f>
        <v>15616</v>
      </c>
      <c r="H17">
        <f>GETPIVOTDATA("OrderID",$G$3)</f>
        <v>1500</v>
      </c>
      <c r="K17">
        <f>GETPIVOTDATA("Returned",$J$3)</f>
        <v>372</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AD08-8A6C-4F53-8C3A-B41EAE2B1935}">
  <dimension ref="A3:B11"/>
  <sheetViews>
    <sheetView workbookViewId="0">
      <selection activeCell="M4" sqref="M4"/>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27</v>
      </c>
      <c r="B4" s="11">
        <v>622589.47800000012</v>
      </c>
    </row>
    <row r="5" spans="1:2" x14ac:dyDescent="0.3">
      <c r="A5" s="4" t="s">
        <v>26</v>
      </c>
      <c r="B5" s="11">
        <v>555266.6645000003</v>
      </c>
    </row>
    <row r="6" spans="1:2" x14ac:dyDescent="0.3">
      <c r="A6" s="4" t="s">
        <v>24</v>
      </c>
      <c r="B6" s="11">
        <v>684417.24150000012</v>
      </c>
    </row>
    <row r="7" spans="1:2" x14ac:dyDescent="0.3">
      <c r="A7" s="4" t="s">
        <v>28</v>
      </c>
      <c r="B7" s="11">
        <v>651629.39249999973</v>
      </c>
    </row>
    <row r="8" spans="1:2" x14ac:dyDescent="0.3">
      <c r="A8" s="4" t="s">
        <v>25</v>
      </c>
      <c r="B8" s="11">
        <v>497162.85099999979</v>
      </c>
    </row>
    <row r="9" spans="1:2" x14ac:dyDescent="0.3">
      <c r="A9" s="4" t="s">
        <v>30</v>
      </c>
      <c r="B9" s="11">
        <v>684387.4155000007</v>
      </c>
    </row>
    <row r="10" spans="1:2" x14ac:dyDescent="0.3">
      <c r="A10" s="4" t="s">
        <v>29</v>
      </c>
      <c r="B10" s="11">
        <v>684539.38550000067</v>
      </c>
    </row>
    <row r="11" spans="1:2" x14ac:dyDescent="0.3">
      <c r="A11" s="4" t="s">
        <v>2928</v>
      </c>
      <c r="B11" s="13">
        <v>4379992.4285000013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786B4-B56A-4AD3-9477-CEE031EE72C6}">
  <dimension ref="A3:E8"/>
  <sheetViews>
    <sheetView workbookViewId="0">
      <selection activeCell="N14" sqref="N14"/>
    </sheetView>
  </sheetViews>
  <sheetFormatPr defaultRowHeight="14.4" x14ac:dyDescent="0.3"/>
  <cols>
    <col min="1" max="1" width="12.5546875" bestFit="1" customWidth="1"/>
    <col min="2" max="2" width="15.88671875" bestFit="1" customWidth="1"/>
    <col min="5" max="5" width="10" bestFit="1" customWidth="1"/>
  </cols>
  <sheetData>
    <row r="3" spans="1:5" x14ac:dyDescent="0.3">
      <c r="A3" s="3" t="s">
        <v>2927</v>
      </c>
      <c r="B3" t="s">
        <v>2941</v>
      </c>
      <c r="D3" t="s">
        <v>7</v>
      </c>
      <c r="E3" t="s">
        <v>2945</v>
      </c>
    </row>
    <row r="4" spans="1:5" x14ac:dyDescent="0.3">
      <c r="A4" s="4">
        <v>0</v>
      </c>
      <c r="B4" s="10">
        <v>0.27800828194970462</v>
      </c>
      <c r="D4" s="4">
        <v>0</v>
      </c>
      <c r="E4" s="12">
        <v>1217674.1699999995</v>
      </c>
    </row>
    <row r="5" spans="1:5" x14ac:dyDescent="0.3">
      <c r="A5" s="4">
        <v>0.05</v>
      </c>
      <c r="B5" s="10">
        <v>0.25751203464666006</v>
      </c>
      <c r="D5" s="4">
        <v>0.05</v>
      </c>
      <c r="E5" s="12">
        <v>1127900.7620000008</v>
      </c>
    </row>
    <row r="6" spans="1:5" x14ac:dyDescent="0.3">
      <c r="A6" s="4">
        <v>0.1</v>
      </c>
      <c r="B6" s="10">
        <v>0.2461890885891973</v>
      </c>
      <c r="D6" s="4">
        <v>0.1</v>
      </c>
      <c r="E6" s="12">
        <v>1078306.344</v>
      </c>
    </row>
    <row r="7" spans="1:5" x14ac:dyDescent="0.3">
      <c r="A7" s="4">
        <v>0.15</v>
      </c>
      <c r="B7" s="10">
        <v>0.21829059481443819</v>
      </c>
      <c r="D7" s="4">
        <v>0.15</v>
      </c>
      <c r="E7" s="12">
        <v>956111.15250000067</v>
      </c>
    </row>
    <row r="8" spans="1:5" x14ac:dyDescent="0.3">
      <c r="A8" s="4" t="s">
        <v>2928</v>
      </c>
      <c r="B8"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DDD8-6549-498E-A6E0-E5DCF1297C28}">
  <dimension ref="A3:B8"/>
  <sheetViews>
    <sheetView workbookViewId="0">
      <selection activeCell="E4" sqref="E4"/>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48</v>
      </c>
      <c r="B4" s="11">
        <v>1238076.9235000007</v>
      </c>
    </row>
    <row r="5" spans="1:2" x14ac:dyDescent="0.3">
      <c r="A5" s="4" t="s">
        <v>49</v>
      </c>
      <c r="B5" s="11">
        <v>989656.80550000037</v>
      </c>
    </row>
    <row r="6" spans="1:2" x14ac:dyDescent="0.3">
      <c r="A6" s="4" t="s">
        <v>50</v>
      </c>
      <c r="B6" s="11">
        <v>1078011.9280000005</v>
      </c>
    </row>
    <row r="7" spans="1:2" x14ac:dyDescent="0.3">
      <c r="A7" s="4" t="s">
        <v>2947</v>
      </c>
      <c r="B7" s="11">
        <v>1074246.7715000003</v>
      </c>
    </row>
    <row r="8" spans="1:2" x14ac:dyDescent="0.3">
      <c r="A8" s="4" t="s">
        <v>2928</v>
      </c>
      <c r="B8" s="13">
        <v>4379992.4285000023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CE85-DBED-4E9B-A217-C5E9B9FF2E8B}">
  <dimension ref="A3:B9"/>
  <sheetViews>
    <sheetView topLeftCell="A4" workbookViewId="0">
      <selection activeCell="K3" sqref="K3"/>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22</v>
      </c>
      <c r="B4" s="10">
        <v>0.19341441756558506</v>
      </c>
    </row>
    <row r="5" spans="1:2" x14ac:dyDescent="0.3">
      <c r="A5" s="4" t="s">
        <v>19</v>
      </c>
      <c r="B5" s="10">
        <v>0.20174320673486085</v>
      </c>
    </row>
    <row r="6" spans="1:2" x14ac:dyDescent="0.3">
      <c r="A6" s="4" t="s">
        <v>21</v>
      </c>
      <c r="B6" s="10">
        <v>0.22099535462701547</v>
      </c>
    </row>
    <row r="7" spans="1:2" x14ac:dyDescent="0.3">
      <c r="A7" s="4" t="s">
        <v>20</v>
      </c>
      <c r="B7" s="10">
        <v>0.18898849724347178</v>
      </c>
    </row>
    <row r="8" spans="1:2" x14ac:dyDescent="0.3">
      <c r="A8" s="4" t="s">
        <v>23</v>
      </c>
      <c r="B8" s="10">
        <v>0.19485852382906688</v>
      </c>
    </row>
    <row r="9" spans="1:2" x14ac:dyDescent="0.3">
      <c r="A9" s="4" t="s">
        <v>2928</v>
      </c>
      <c r="B9" s="1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D262-2D7D-402E-A046-6F12D511701B}">
  <dimension ref="A3:B11"/>
  <sheetViews>
    <sheetView workbookViewId="0">
      <selection activeCell="M16" sqref="M16"/>
    </sheetView>
  </sheetViews>
  <sheetFormatPr defaultRowHeight="14.4" x14ac:dyDescent="0.3"/>
  <cols>
    <col min="1" max="1" width="12.5546875" bestFit="1" customWidth="1"/>
    <col min="2" max="2" width="15.33203125" bestFit="1" customWidth="1"/>
    <col min="3" max="3" width="5" bestFit="1" customWidth="1"/>
    <col min="4" max="4" width="6.88671875" bestFit="1" customWidth="1"/>
    <col min="5" max="5" width="7.88671875" bestFit="1" customWidth="1"/>
    <col min="6" max="6" width="6.44140625" bestFit="1" customWidth="1"/>
    <col min="7" max="7" width="6.6640625" bestFit="1" customWidth="1"/>
    <col min="8" max="8" width="6.21875" bestFit="1" customWidth="1"/>
    <col min="9" max="9" width="10.77734375" bestFit="1" customWidth="1"/>
  </cols>
  <sheetData>
    <row r="3" spans="1:2" x14ac:dyDescent="0.3">
      <c r="A3" s="3" t="s">
        <v>2927</v>
      </c>
      <c r="B3" t="s">
        <v>2944</v>
      </c>
    </row>
    <row r="4" spans="1:2" x14ac:dyDescent="0.3">
      <c r="A4" s="4" t="s">
        <v>27</v>
      </c>
      <c r="B4" s="13">
        <v>59</v>
      </c>
    </row>
    <row r="5" spans="1:2" x14ac:dyDescent="0.3">
      <c r="A5" s="4" t="s">
        <v>26</v>
      </c>
      <c r="B5" s="13">
        <v>45</v>
      </c>
    </row>
    <row r="6" spans="1:2" x14ac:dyDescent="0.3">
      <c r="A6" s="4" t="s">
        <v>24</v>
      </c>
      <c r="B6" s="13">
        <v>62</v>
      </c>
    </row>
    <row r="7" spans="1:2" x14ac:dyDescent="0.3">
      <c r="A7" s="4" t="s">
        <v>28</v>
      </c>
      <c r="B7" s="13">
        <v>56</v>
      </c>
    </row>
    <row r="8" spans="1:2" x14ac:dyDescent="0.3">
      <c r="A8" s="4" t="s">
        <v>25</v>
      </c>
      <c r="B8" s="13">
        <v>45</v>
      </c>
    </row>
    <row r="9" spans="1:2" x14ac:dyDescent="0.3">
      <c r="A9" s="4" t="s">
        <v>30</v>
      </c>
      <c r="B9" s="13">
        <v>47</v>
      </c>
    </row>
    <row r="10" spans="1:2" x14ac:dyDescent="0.3">
      <c r="A10" s="4" t="s">
        <v>29</v>
      </c>
      <c r="B10" s="13">
        <v>58</v>
      </c>
    </row>
    <row r="11" spans="1:2" x14ac:dyDescent="0.3">
      <c r="A11" s="4" t="s">
        <v>2928</v>
      </c>
      <c r="B11" s="13">
        <v>372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C5C6-4255-481E-A264-A50ADBBC6974}">
  <dimension ref="A3:B9"/>
  <sheetViews>
    <sheetView workbookViewId="0">
      <selection activeCell="I7" sqref="I7"/>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2925</v>
      </c>
      <c r="B4" s="7">
        <v>847153.68450000032</v>
      </c>
    </row>
    <row r="5" spans="1:2" x14ac:dyDescent="0.3">
      <c r="A5" s="4" t="s">
        <v>2922</v>
      </c>
      <c r="B5" s="7">
        <v>883633.71800000116</v>
      </c>
    </row>
    <row r="6" spans="1:2" x14ac:dyDescent="0.3">
      <c r="A6" s="4" t="s">
        <v>2924</v>
      </c>
      <c r="B6" s="7">
        <v>967957.98000000068</v>
      </c>
    </row>
    <row r="7" spans="1:2" x14ac:dyDescent="0.3">
      <c r="A7" s="4" t="s">
        <v>2923</v>
      </c>
      <c r="B7" s="7">
        <v>827768.18699999992</v>
      </c>
    </row>
    <row r="8" spans="1:2" x14ac:dyDescent="0.3">
      <c r="A8" s="4" t="s">
        <v>2926</v>
      </c>
      <c r="B8" s="7">
        <v>853478.85900000017</v>
      </c>
    </row>
    <row r="9" spans="1:2" x14ac:dyDescent="0.3">
      <c r="A9" s="4" t="s">
        <v>2928</v>
      </c>
      <c r="B9" s="13">
        <v>4379992.4285000023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996FA-DA07-4305-A139-6A0A7EA2010E}">
  <dimension ref="A3:B10"/>
  <sheetViews>
    <sheetView workbookViewId="0">
      <selection activeCell="B19" sqref="B19"/>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38</v>
      </c>
      <c r="B4" s="11">
        <v>786165.8400000002</v>
      </c>
    </row>
    <row r="5" spans="1:2" x14ac:dyDescent="0.3">
      <c r="A5" s="4" t="s">
        <v>42</v>
      </c>
      <c r="B5" s="11">
        <v>796780.52149999957</v>
      </c>
    </row>
    <row r="6" spans="1:2" x14ac:dyDescent="0.3">
      <c r="A6" s="4" t="s">
        <v>40</v>
      </c>
      <c r="B6" s="11">
        <v>707166.71600000071</v>
      </c>
    </row>
    <row r="7" spans="1:2" x14ac:dyDescent="0.3">
      <c r="A7" s="4" t="s">
        <v>41</v>
      </c>
      <c r="B7" s="11">
        <v>676568.2495000005</v>
      </c>
    </row>
    <row r="8" spans="1:2" x14ac:dyDescent="0.3">
      <c r="A8" s="4" t="s">
        <v>37</v>
      </c>
      <c r="B8" s="11">
        <v>698669.57950000011</v>
      </c>
    </row>
    <row r="9" spans="1:2" x14ac:dyDescent="0.3">
      <c r="A9" s="4" t="s">
        <v>39</v>
      </c>
      <c r="B9" s="11">
        <v>714641.52200000035</v>
      </c>
    </row>
    <row r="10" spans="1:2" x14ac:dyDescent="0.3">
      <c r="A10" s="4" t="s">
        <v>2928</v>
      </c>
      <c r="B10" s="13">
        <v>4379992.4285000013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2DDF7-8D84-4731-BFF0-2C2311224ED5}">
  <dimension ref="A3:B6"/>
  <sheetViews>
    <sheetView workbookViewId="0">
      <selection activeCell="J6" sqref="J6:J7"/>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36</v>
      </c>
      <c r="B4" s="10">
        <v>0.50126241742200739</v>
      </c>
    </row>
    <row r="5" spans="1:2" x14ac:dyDescent="0.3">
      <c r="A5" s="4" t="s">
        <v>35</v>
      </c>
      <c r="B5" s="10">
        <v>0.49873758257799261</v>
      </c>
    </row>
    <row r="6" spans="1:2" x14ac:dyDescent="0.3">
      <c r="A6" s="4" t="s">
        <v>2928</v>
      </c>
      <c r="B6" s="10">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D0FBC-97A1-48E5-990B-AFA4E3F39C6A}">
  <dimension ref="A3:B8"/>
  <sheetViews>
    <sheetView workbookViewId="0">
      <selection activeCell="I3" sqref="I3"/>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32</v>
      </c>
      <c r="B4" s="10">
        <v>0.24851928896433706</v>
      </c>
    </row>
    <row r="5" spans="1:2" x14ac:dyDescent="0.3">
      <c r="A5" s="4" t="s">
        <v>31</v>
      </c>
      <c r="B5" s="10">
        <v>0.23508012155459837</v>
      </c>
    </row>
    <row r="6" spans="1:2" x14ac:dyDescent="0.3">
      <c r="A6" s="4" t="s">
        <v>33</v>
      </c>
      <c r="B6" s="10">
        <v>0.24116589691497467</v>
      </c>
    </row>
    <row r="7" spans="1:2" x14ac:dyDescent="0.3">
      <c r="A7" s="4" t="s">
        <v>34</v>
      </c>
      <c r="B7" s="10">
        <v>0.27523469256609001</v>
      </c>
    </row>
    <row r="8" spans="1:2" x14ac:dyDescent="0.3">
      <c r="A8" s="4" t="s">
        <v>2928</v>
      </c>
      <c r="B8" s="10">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B4D2-1FC8-4B04-A041-2CE49AFA1752}">
  <dimension ref="A3:B16"/>
  <sheetViews>
    <sheetView workbookViewId="0">
      <selection activeCell="L4" sqref="L4"/>
    </sheetView>
  </sheetViews>
  <sheetFormatPr defaultRowHeight="14.4" x14ac:dyDescent="0.3"/>
  <cols>
    <col min="1" max="1" width="12.5546875" bestFit="1" customWidth="1"/>
    <col min="2" max="2" width="15.88671875" bestFit="1" customWidth="1"/>
    <col min="3" max="3" width="19.109375" bestFit="1" customWidth="1"/>
    <col min="4" max="5" width="12" bestFit="1" customWidth="1"/>
  </cols>
  <sheetData>
    <row r="3" spans="1:2" x14ac:dyDescent="0.3">
      <c r="A3" s="3" t="s">
        <v>2927</v>
      </c>
      <c r="B3" t="s">
        <v>2941</v>
      </c>
    </row>
    <row r="4" spans="1:2" x14ac:dyDescent="0.3">
      <c r="A4" s="4" t="s">
        <v>2929</v>
      </c>
      <c r="B4" s="11">
        <v>498358.50149999995</v>
      </c>
    </row>
    <row r="5" spans="1:2" x14ac:dyDescent="0.3">
      <c r="A5" s="4" t="s">
        <v>2930</v>
      </c>
      <c r="B5" s="11">
        <v>415057.81349999999</v>
      </c>
    </row>
    <row r="6" spans="1:2" x14ac:dyDescent="0.3">
      <c r="A6" s="4" t="s">
        <v>2931</v>
      </c>
      <c r="B6" s="11">
        <v>532090.95349999995</v>
      </c>
    </row>
    <row r="7" spans="1:2" x14ac:dyDescent="0.3">
      <c r="A7" s="4" t="s">
        <v>2932</v>
      </c>
      <c r="B7" s="11">
        <v>443318.72650000016</v>
      </c>
    </row>
    <row r="8" spans="1:2" x14ac:dyDescent="0.3">
      <c r="A8" s="4" t="s">
        <v>2933</v>
      </c>
      <c r="B8" s="11">
        <v>402408.02549999999</v>
      </c>
    </row>
    <row r="9" spans="1:2" x14ac:dyDescent="0.3">
      <c r="A9" s="4" t="s">
        <v>2934</v>
      </c>
      <c r="B9" s="11">
        <v>434261.66899999999</v>
      </c>
    </row>
    <row r="10" spans="1:2" x14ac:dyDescent="0.3">
      <c r="A10" s="4" t="s">
        <v>2935</v>
      </c>
      <c r="B10" s="11">
        <v>280050.04749999981</v>
      </c>
    </row>
    <row r="11" spans="1:2" x14ac:dyDescent="0.3">
      <c r="A11" s="4" t="s">
        <v>2936</v>
      </c>
      <c r="B11" s="11">
        <v>289639.00349999999</v>
      </c>
    </row>
    <row r="12" spans="1:2" x14ac:dyDescent="0.3">
      <c r="A12" s="4" t="s">
        <v>2937</v>
      </c>
      <c r="B12" s="11">
        <v>282114.64899999998</v>
      </c>
    </row>
    <row r="13" spans="1:2" x14ac:dyDescent="0.3">
      <c r="A13" s="4" t="s">
        <v>2938</v>
      </c>
      <c r="B13" s="11">
        <v>256612.897</v>
      </c>
    </row>
    <row r="14" spans="1:2" x14ac:dyDescent="0.3">
      <c r="A14" s="4" t="s">
        <v>2939</v>
      </c>
      <c r="B14" s="11">
        <v>283330.62000000005</v>
      </c>
    </row>
    <row r="15" spans="1:2" x14ac:dyDescent="0.3">
      <c r="A15" s="4" t="s">
        <v>2940</v>
      </c>
      <c r="B15" s="11">
        <v>262749.522</v>
      </c>
    </row>
    <row r="16" spans="1:2" x14ac:dyDescent="0.3">
      <c r="A16" s="4" t="s">
        <v>2928</v>
      </c>
      <c r="B16" s="11">
        <v>4379992.4284999995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DBF8-5B28-4182-8DE5-22D923620A83}">
  <dimension ref="A1:S179"/>
  <sheetViews>
    <sheetView topLeftCell="A2" workbookViewId="0">
      <selection activeCell="A3" sqref="A3:S179"/>
    </sheetView>
  </sheetViews>
  <sheetFormatPr defaultRowHeight="14.4" x14ac:dyDescent="0.3"/>
  <cols>
    <col min="1" max="1" width="10.33203125" bestFit="1" customWidth="1"/>
    <col min="2" max="2" width="9" bestFit="1" customWidth="1"/>
    <col min="3" max="3" width="9.88671875" bestFit="1" customWidth="1"/>
    <col min="4" max="4" width="10.5546875" bestFit="1" customWidth="1"/>
    <col min="5" max="5" width="10.88671875" bestFit="1" customWidth="1"/>
    <col min="6" max="6" width="14.88671875" bestFit="1" customWidth="1"/>
    <col min="7" max="7" width="15.5546875" bestFit="1" customWidth="1"/>
    <col min="8" max="8" width="10.5546875" bestFit="1" customWidth="1"/>
    <col min="9" max="9" width="13.21875" bestFit="1" customWidth="1"/>
    <col min="10" max="10" width="11.5546875" bestFit="1" customWidth="1"/>
    <col min="11" max="11" width="17.6640625" bestFit="1" customWidth="1"/>
    <col min="12" max="12" width="12.21875" bestFit="1" customWidth="1"/>
    <col min="13" max="13" width="11" bestFit="1" customWidth="1"/>
    <col min="14" max="14" width="10.33203125" bestFit="1" customWidth="1"/>
    <col min="15" max="15" width="16.44140625" bestFit="1" customWidth="1"/>
    <col min="16" max="16" width="14.21875" bestFit="1" customWidth="1"/>
    <col min="17" max="17" width="11.88671875" bestFit="1" customWidth="1"/>
    <col min="18" max="18" width="13.88671875" bestFit="1" customWidth="1"/>
    <col min="19" max="19" width="16.6640625" bestFit="1" customWidth="1"/>
  </cols>
  <sheetData>
    <row r="1" spans="1:19" x14ac:dyDescent="0.3">
      <c r="A1" s="9" t="s">
        <v>2946</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row>
    <row r="4" spans="1:19" x14ac:dyDescent="0.3">
      <c r="A4" s="8">
        <v>45302</v>
      </c>
      <c r="B4" t="s">
        <v>20</v>
      </c>
      <c r="C4" t="s">
        <v>27</v>
      </c>
      <c r="D4">
        <v>18</v>
      </c>
      <c r="E4">
        <v>209.75</v>
      </c>
      <c r="F4" t="s">
        <v>33</v>
      </c>
      <c r="G4" t="s">
        <v>35</v>
      </c>
      <c r="H4">
        <v>0.15</v>
      </c>
      <c r="I4" t="s">
        <v>39</v>
      </c>
      <c r="J4">
        <v>3209.1750000000002</v>
      </c>
      <c r="K4" t="s">
        <v>46</v>
      </c>
      <c r="L4" t="s">
        <v>48</v>
      </c>
      <c r="M4">
        <v>0</v>
      </c>
      <c r="N4" t="s">
        <v>1547</v>
      </c>
      <c r="O4" t="s">
        <v>2919</v>
      </c>
      <c r="P4">
        <v>45.93</v>
      </c>
      <c r="Q4" s="8">
        <v>45302</v>
      </c>
      <c r="R4" s="8">
        <v>45308</v>
      </c>
      <c r="S4" t="s">
        <v>2923</v>
      </c>
    </row>
    <row r="5" spans="1:19" x14ac:dyDescent="0.3">
      <c r="A5" s="8">
        <v>45671</v>
      </c>
      <c r="B5" t="s">
        <v>19</v>
      </c>
      <c r="C5" t="s">
        <v>29</v>
      </c>
      <c r="D5">
        <v>5</v>
      </c>
      <c r="E5">
        <v>201.29</v>
      </c>
      <c r="F5" t="s">
        <v>34</v>
      </c>
      <c r="G5" t="s">
        <v>35</v>
      </c>
      <c r="H5">
        <v>0</v>
      </c>
      <c r="I5" t="s">
        <v>40</v>
      </c>
      <c r="J5">
        <v>1006.45</v>
      </c>
      <c r="K5" t="s">
        <v>43</v>
      </c>
      <c r="L5" t="s">
        <v>48</v>
      </c>
      <c r="M5">
        <v>0</v>
      </c>
      <c r="N5" t="s">
        <v>1545</v>
      </c>
      <c r="O5" t="s">
        <v>2917</v>
      </c>
      <c r="P5">
        <v>49.13</v>
      </c>
      <c r="Q5" s="8">
        <v>45671</v>
      </c>
      <c r="R5" s="8">
        <v>45678</v>
      </c>
      <c r="S5" t="s">
        <v>2922</v>
      </c>
    </row>
    <row r="6" spans="1:19" x14ac:dyDescent="0.3">
      <c r="A6" s="8">
        <v>45685</v>
      </c>
      <c r="B6" t="s">
        <v>22</v>
      </c>
      <c r="C6" t="s">
        <v>28</v>
      </c>
      <c r="D6">
        <v>13</v>
      </c>
      <c r="E6">
        <v>447.34</v>
      </c>
      <c r="F6" t="s">
        <v>32</v>
      </c>
      <c r="G6" t="s">
        <v>35</v>
      </c>
      <c r="H6">
        <v>0.05</v>
      </c>
      <c r="I6" t="s">
        <v>39</v>
      </c>
      <c r="J6">
        <v>5524.6489999999994</v>
      </c>
      <c r="K6" t="s">
        <v>47</v>
      </c>
      <c r="L6" t="s">
        <v>49</v>
      </c>
      <c r="M6">
        <v>0</v>
      </c>
      <c r="N6" t="s">
        <v>1539</v>
      </c>
      <c r="O6" t="s">
        <v>2911</v>
      </c>
      <c r="P6">
        <v>38.93</v>
      </c>
      <c r="Q6" s="8">
        <v>45685</v>
      </c>
      <c r="R6" s="8">
        <v>45692</v>
      </c>
      <c r="S6" t="s">
        <v>2925</v>
      </c>
    </row>
    <row r="7" spans="1:19" x14ac:dyDescent="0.3">
      <c r="A7" s="8">
        <v>45314</v>
      </c>
      <c r="B7" t="s">
        <v>19</v>
      </c>
      <c r="C7" t="s">
        <v>29</v>
      </c>
      <c r="D7">
        <v>2</v>
      </c>
      <c r="E7">
        <v>389.98</v>
      </c>
      <c r="F7" t="s">
        <v>34</v>
      </c>
      <c r="G7" t="s">
        <v>35</v>
      </c>
      <c r="H7">
        <v>0.05</v>
      </c>
      <c r="I7" t="s">
        <v>40</v>
      </c>
      <c r="J7">
        <v>740.96199999999999</v>
      </c>
      <c r="K7" t="s">
        <v>46</v>
      </c>
      <c r="L7" t="s">
        <v>49</v>
      </c>
      <c r="M7">
        <v>1</v>
      </c>
      <c r="N7" t="s">
        <v>1534</v>
      </c>
      <c r="O7" t="s">
        <v>2906</v>
      </c>
      <c r="P7">
        <v>24.55</v>
      </c>
      <c r="Q7" s="8">
        <v>45314</v>
      </c>
      <c r="R7" s="8">
        <v>45316</v>
      </c>
      <c r="S7" t="s">
        <v>2922</v>
      </c>
    </row>
    <row r="8" spans="1:19" x14ac:dyDescent="0.3">
      <c r="A8" s="8">
        <v>45306</v>
      </c>
      <c r="B8" t="s">
        <v>22</v>
      </c>
      <c r="C8" t="s">
        <v>28</v>
      </c>
      <c r="D8">
        <v>4</v>
      </c>
      <c r="E8">
        <v>159.54</v>
      </c>
      <c r="F8" t="s">
        <v>32</v>
      </c>
      <c r="G8" t="s">
        <v>35</v>
      </c>
      <c r="H8">
        <v>0.05</v>
      </c>
      <c r="I8" t="s">
        <v>38</v>
      </c>
      <c r="J8">
        <v>606.25199999999995</v>
      </c>
      <c r="K8" t="s">
        <v>45</v>
      </c>
      <c r="L8" t="s">
        <v>48</v>
      </c>
      <c r="M8">
        <v>0</v>
      </c>
      <c r="N8" t="s">
        <v>1518</v>
      </c>
      <c r="O8" t="s">
        <v>2895</v>
      </c>
      <c r="P8">
        <v>32.36</v>
      </c>
      <c r="Q8" s="8">
        <v>45306</v>
      </c>
      <c r="R8" s="8">
        <v>45312</v>
      </c>
      <c r="S8" t="s">
        <v>2925</v>
      </c>
    </row>
    <row r="9" spans="1:19" x14ac:dyDescent="0.3">
      <c r="A9" s="8">
        <v>45676</v>
      </c>
      <c r="B9" t="s">
        <v>22</v>
      </c>
      <c r="C9" t="s">
        <v>26</v>
      </c>
      <c r="D9">
        <v>11</v>
      </c>
      <c r="E9">
        <v>133.63999999999999</v>
      </c>
      <c r="F9" t="s">
        <v>34</v>
      </c>
      <c r="G9" t="s">
        <v>35</v>
      </c>
      <c r="H9">
        <v>0</v>
      </c>
      <c r="I9" t="s">
        <v>41</v>
      </c>
      <c r="J9">
        <v>1470.04</v>
      </c>
      <c r="K9" t="s">
        <v>46</v>
      </c>
      <c r="M9">
        <v>1</v>
      </c>
      <c r="N9" t="s">
        <v>1514</v>
      </c>
      <c r="O9" t="s">
        <v>2564</v>
      </c>
      <c r="P9">
        <v>30.18</v>
      </c>
      <c r="Q9" s="8">
        <v>45676</v>
      </c>
      <c r="R9" s="8">
        <v>45681</v>
      </c>
      <c r="S9" t="s">
        <v>2925</v>
      </c>
    </row>
    <row r="10" spans="1:19" x14ac:dyDescent="0.3">
      <c r="A10" s="8">
        <v>44937</v>
      </c>
      <c r="B10" t="s">
        <v>20</v>
      </c>
      <c r="C10" t="s">
        <v>27</v>
      </c>
      <c r="D10">
        <v>7</v>
      </c>
      <c r="E10">
        <v>17.5</v>
      </c>
      <c r="F10" t="s">
        <v>33</v>
      </c>
      <c r="G10" t="s">
        <v>36</v>
      </c>
      <c r="H10">
        <v>0.1</v>
      </c>
      <c r="I10" t="s">
        <v>38</v>
      </c>
      <c r="J10">
        <v>110.25</v>
      </c>
      <c r="K10" t="s">
        <v>46</v>
      </c>
      <c r="L10" t="s">
        <v>50</v>
      </c>
      <c r="M10">
        <v>0</v>
      </c>
      <c r="N10" t="s">
        <v>57</v>
      </c>
      <c r="O10" t="s">
        <v>1557</v>
      </c>
      <c r="P10">
        <v>5.0199999999999996</v>
      </c>
      <c r="Q10" s="8">
        <v>44937</v>
      </c>
      <c r="R10" s="8">
        <v>44940</v>
      </c>
      <c r="S10" t="s">
        <v>2923</v>
      </c>
    </row>
    <row r="11" spans="1:19" x14ac:dyDescent="0.3">
      <c r="A11" s="8">
        <v>44935</v>
      </c>
      <c r="B11" t="s">
        <v>22</v>
      </c>
      <c r="C11" t="s">
        <v>27</v>
      </c>
      <c r="D11">
        <v>3</v>
      </c>
      <c r="E11">
        <v>330.22</v>
      </c>
      <c r="F11" t="s">
        <v>33</v>
      </c>
      <c r="G11" t="s">
        <v>35</v>
      </c>
      <c r="H11">
        <v>0.15</v>
      </c>
      <c r="I11" t="s">
        <v>40</v>
      </c>
      <c r="J11">
        <v>842.06100000000004</v>
      </c>
      <c r="K11" t="s">
        <v>47</v>
      </c>
      <c r="M11">
        <v>0</v>
      </c>
      <c r="N11" t="s">
        <v>58</v>
      </c>
      <c r="O11" t="s">
        <v>1558</v>
      </c>
      <c r="P11">
        <v>48.01</v>
      </c>
      <c r="Q11" s="8">
        <v>44935</v>
      </c>
      <c r="R11" s="8">
        <v>44937</v>
      </c>
      <c r="S11" t="s">
        <v>2925</v>
      </c>
    </row>
    <row r="12" spans="1:19" x14ac:dyDescent="0.3">
      <c r="A12" s="8">
        <v>45688</v>
      </c>
      <c r="B12" t="s">
        <v>21</v>
      </c>
      <c r="C12" t="s">
        <v>30</v>
      </c>
      <c r="D12">
        <v>13</v>
      </c>
      <c r="E12">
        <v>223.44</v>
      </c>
      <c r="F12" t="s">
        <v>31</v>
      </c>
      <c r="G12" t="s">
        <v>36</v>
      </c>
      <c r="H12">
        <v>0.15</v>
      </c>
      <c r="I12" t="s">
        <v>40</v>
      </c>
      <c r="J12">
        <v>2469.0120000000002</v>
      </c>
      <c r="K12" t="s">
        <v>45</v>
      </c>
      <c r="M12">
        <v>1</v>
      </c>
      <c r="N12" t="s">
        <v>1512</v>
      </c>
      <c r="O12" t="s">
        <v>2890</v>
      </c>
      <c r="P12">
        <v>38.46</v>
      </c>
      <c r="Q12" s="8">
        <v>45688</v>
      </c>
      <c r="R12" s="8">
        <v>45695</v>
      </c>
      <c r="S12" t="s">
        <v>2924</v>
      </c>
    </row>
    <row r="13" spans="1:19" x14ac:dyDescent="0.3">
      <c r="A13" s="8">
        <v>44928</v>
      </c>
      <c r="B13" t="s">
        <v>20</v>
      </c>
      <c r="C13" t="s">
        <v>24</v>
      </c>
      <c r="D13">
        <v>7</v>
      </c>
      <c r="E13">
        <v>61.47</v>
      </c>
      <c r="F13" t="s">
        <v>33</v>
      </c>
      <c r="G13" t="s">
        <v>36</v>
      </c>
      <c r="H13">
        <v>0.15</v>
      </c>
      <c r="I13" t="s">
        <v>37</v>
      </c>
      <c r="J13">
        <v>365.74650000000003</v>
      </c>
      <c r="K13" t="s">
        <v>43</v>
      </c>
      <c r="L13" t="s">
        <v>48</v>
      </c>
      <c r="M13">
        <v>0</v>
      </c>
      <c r="N13" t="s">
        <v>1508</v>
      </c>
      <c r="O13" t="s">
        <v>2886</v>
      </c>
      <c r="P13">
        <v>14.44</v>
      </c>
      <c r="Q13" s="8">
        <v>44928</v>
      </c>
      <c r="R13" s="8">
        <v>44938</v>
      </c>
      <c r="S13" t="s">
        <v>2923</v>
      </c>
    </row>
    <row r="14" spans="1:19" x14ac:dyDescent="0.3">
      <c r="A14" s="8">
        <v>45316</v>
      </c>
      <c r="B14" t="s">
        <v>19</v>
      </c>
      <c r="C14" t="s">
        <v>27</v>
      </c>
      <c r="D14">
        <v>11</v>
      </c>
      <c r="E14">
        <v>422.89</v>
      </c>
      <c r="F14" t="s">
        <v>31</v>
      </c>
      <c r="G14" t="s">
        <v>36</v>
      </c>
      <c r="H14">
        <v>0.1</v>
      </c>
      <c r="I14" t="s">
        <v>39</v>
      </c>
      <c r="J14">
        <v>4186.6109999999999</v>
      </c>
      <c r="K14" t="s">
        <v>45</v>
      </c>
      <c r="L14" t="s">
        <v>49</v>
      </c>
      <c r="M14">
        <v>0</v>
      </c>
      <c r="N14" t="s">
        <v>1487</v>
      </c>
      <c r="O14" t="s">
        <v>2872</v>
      </c>
      <c r="P14">
        <v>45.89</v>
      </c>
      <c r="Q14" s="8">
        <v>45316</v>
      </c>
      <c r="R14" s="8">
        <v>45318</v>
      </c>
      <c r="S14" t="s">
        <v>2922</v>
      </c>
    </row>
    <row r="15" spans="1:19" x14ac:dyDescent="0.3">
      <c r="A15" s="8">
        <v>45679</v>
      </c>
      <c r="B15" t="s">
        <v>19</v>
      </c>
      <c r="C15" t="s">
        <v>29</v>
      </c>
      <c r="D15">
        <v>17</v>
      </c>
      <c r="E15">
        <v>8.33</v>
      </c>
      <c r="F15" t="s">
        <v>32</v>
      </c>
      <c r="G15" t="s">
        <v>36</v>
      </c>
      <c r="H15">
        <v>0.05</v>
      </c>
      <c r="I15" t="s">
        <v>37</v>
      </c>
      <c r="J15">
        <v>134.52950000000001</v>
      </c>
      <c r="K15" t="s">
        <v>47</v>
      </c>
      <c r="M15">
        <v>0</v>
      </c>
      <c r="N15" t="s">
        <v>1482</v>
      </c>
      <c r="O15" t="s">
        <v>2867</v>
      </c>
      <c r="P15">
        <v>43.29</v>
      </c>
      <c r="Q15" s="8">
        <v>45679</v>
      </c>
      <c r="R15" s="8">
        <v>45682</v>
      </c>
      <c r="S15" t="s">
        <v>2922</v>
      </c>
    </row>
    <row r="16" spans="1:19" x14ac:dyDescent="0.3">
      <c r="A16" s="8">
        <v>44942</v>
      </c>
      <c r="B16" t="s">
        <v>21</v>
      </c>
      <c r="C16" t="s">
        <v>30</v>
      </c>
      <c r="D16">
        <v>10</v>
      </c>
      <c r="E16">
        <v>193.96</v>
      </c>
      <c r="F16" t="s">
        <v>34</v>
      </c>
      <c r="G16" t="s">
        <v>35</v>
      </c>
      <c r="H16">
        <v>0.1</v>
      </c>
      <c r="I16" t="s">
        <v>38</v>
      </c>
      <c r="J16">
        <v>1745.64</v>
      </c>
      <c r="K16" t="s">
        <v>44</v>
      </c>
      <c r="M16">
        <v>0</v>
      </c>
      <c r="N16" t="s">
        <v>1476</v>
      </c>
      <c r="O16" t="s">
        <v>2861</v>
      </c>
      <c r="P16">
        <v>41.3</v>
      </c>
      <c r="Q16" s="8">
        <v>44942</v>
      </c>
      <c r="R16" s="8">
        <v>44947</v>
      </c>
      <c r="S16" t="s">
        <v>2924</v>
      </c>
    </row>
    <row r="17" spans="1:19" x14ac:dyDescent="0.3">
      <c r="A17" s="8">
        <v>45675</v>
      </c>
      <c r="B17" t="s">
        <v>23</v>
      </c>
      <c r="C17" t="s">
        <v>29</v>
      </c>
      <c r="D17">
        <v>1</v>
      </c>
      <c r="E17">
        <v>157.83000000000001</v>
      </c>
      <c r="F17" t="s">
        <v>32</v>
      </c>
      <c r="G17" t="s">
        <v>35</v>
      </c>
      <c r="H17">
        <v>0.15</v>
      </c>
      <c r="I17" t="s">
        <v>40</v>
      </c>
      <c r="J17">
        <v>134.15549999999999</v>
      </c>
      <c r="K17" t="s">
        <v>46</v>
      </c>
      <c r="M17">
        <v>0</v>
      </c>
      <c r="N17" t="s">
        <v>64</v>
      </c>
      <c r="O17" t="s">
        <v>1564</v>
      </c>
      <c r="P17">
        <v>42.82</v>
      </c>
      <c r="Q17" s="8">
        <v>45675</v>
      </c>
      <c r="R17" s="8">
        <v>45679</v>
      </c>
      <c r="S17" t="s">
        <v>2926</v>
      </c>
    </row>
    <row r="18" spans="1:19" x14ac:dyDescent="0.3">
      <c r="A18" s="8">
        <v>45676</v>
      </c>
      <c r="B18" t="s">
        <v>22</v>
      </c>
      <c r="C18" t="s">
        <v>29</v>
      </c>
      <c r="D18">
        <v>4</v>
      </c>
      <c r="E18">
        <v>68.040000000000006</v>
      </c>
      <c r="F18" t="s">
        <v>33</v>
      </c>
      <c r="G18" t="s">
        <v>35</v>
      </c>
      <c r="H18">
        <v>0</v>
      </c>
      <c r="I18" t="s">
        <v>42</v>
      </c>
      <c r="J18">
        <v>272.16000000000003</v>
      </c>
      <c r="K18" t="s">
        <v>43</v>
      </c>
      <c r="L18" t="s">
        <v>48</v>
      </c>
      <c r="M18">
        <v>0</v>
      </c>
      <c r="N18" t="s">
        <v>1454</v>
      </c>
      <c r="O18" t="s">
        <v>2845</v>
      </c>
      <c r="P18">
        <v>18.72</v>
      </c>
      <c r="Q18" s="8">
        <v>45676</v>
      </c>
      <c r="R18" s="8">
        <v>45685</v>
      </c>
      <c r="S18" t="s">
        <v>2925</v>
      </c>
    </row>
    <row r="19" spans="1:19" x14ac:dyDescent="0.3">
      <c r="A19" s="8">
        <v>44930</v>
      </c>
      <c r="B19" t="s">
        <v>23</v>
      </c>
      <c r="C19" t="s">
        <v>28</v>
      </c>
      <c r="D19">
        <v>15</v>
      </c>
      <c r="E19">
        <v>439.89</v>
      </c>
      <c r="F19" t="s">
        <v>34</v>
      </c>
      <c r="G19" t="s">
        <v>36</v>
      </c>
      <c r="H19">
        <v>0.15</v>
      </c>
      <c r="I19" t="s">
        <v>41</v>
      </c>
      <c r="J19">
        <v>5608.5974999999989</v>
      </c>
      <c r="K19" t="s">
        <v>43</v>
      </c>
      <c r="L19" t="s">
        <v>48</v>
      </c>
      <c r="M19">
        <v>0</v>
      </c>
      <c r="N19" t="s">
        <v>1448</v>
      </c>
      <c r="O19" t="s">
        <v>2841</v>
      </c>
      <c r="P19">
        <v>49.71</v>
      </c>
      <c r="Q19" s="8">
        <v>44930</v>
      </c>
      <c r="R19" s="8">
        <v>44934</v>
      </c>
      <c r="S19" t="s">
        <v>2926</v>
      </c>
    </row>
    <row r="20" spans="1:19" x14ac:dyDescent="0.3">
      <c r="A20" s="8">
        <v>45668</v>
      </c>
      <c r="B20" t="s">
        <v>21</v>
      </c>
      <c r="C20" t="s">
        <v>26</v>
      </c>
      <c r="D20">
        <v>4</v>
      </c>
      <c r="E20">
        <v>323.02</v>
      </c>
      <c r="F20" t="s">
        <v>33</v>
      </c>
      <c r="G20" t="s">
        <v>36</v>
      </c>
      <c r="H20">
        <v>0.05</v>
      </c>
      <c r="I20" t="s">
        <v>41</v>
      </c>
      <c r="J20">
        <v>1227.4760000000001</v>
      </c>
      <c r="K20" t="s">
        <v>47</v>
      </c>
      <c r="M20">
        <v>0</v>
      </c>
      <c r="N20" t="s">
        <v>1447</v>
      </c>
      <c r="O20" t="s">
        <v>2840</v>
      </c>
      <c r="P20">
        <v>19.53</v>
      </c>
      <c r="Q20" s="8">
        <v>45668</v>
      </c>
      <c r="R20" s="8">
        <v>45673</v>
      </c>
      <c r="S20" t="s">
        <v>2924</v>
      </c>
    </row>
    <row r="21" spans="1:19" x14ac:dyDescent="0.3">
      <c r="A21" s="8">
        <v>45307</v>
      </c>
      <c r="B21" t="s">
        <v>22</v>
      </c>
      <c r="C21" t="s">
        <v>25</v>
      </c>
      <c r="D21">
        <v>4</v>
      </c>
      <c r="E21">
        <v>78.05</v>
      </c>
      <c r="F21" t="s">
        <v>32</v>
      </c>
      <c r="G21" t="s">
        <v>36</v>
      </c>
      <c r="H21">
        <v>0</v>
      </c>
      <c r="I21" t="s">
        <v>40</v>
      </c>
      <c r="J21">
        <v>312.2</v>
      </c>
      <c r="K21" t="s">
        <v>45</v>
      </c>
      <c r="M21">
        <v>0</v>
      </c>
      <c r="N21" t="s">
        <v>1433</v>
      </c>
      <c r="O21" t="s">
        <v>2828</v>
      </c>
      <c r="P21">
        <v>14.03</v>
      </c>
      <c r="Q21" s="8">
        <v>45307</v>
      </c>
      <c r="R21" s="8">
        <v>45315</v>
      </c>
      <c r="S21" t="s">
        <v>2925</v>
      </c>
    </row>
    <row r="22" spans="1:19" x14ac:dyDescent="0.3">
      <c r="A22" s="8">
        <v>44944</v>
      </c>
      <c r="B22" t="s">
        <v>21</v>
      </c>
      <c r="C22" t="s">
        <v>28</v>
      </c>
      <c r="D22">
        <v>1</v>
      </c>
      <c r="E22">
        <v>120.2</v>
      </c>
      <c r="F22" t="s">
        <v>34</v>
      </c>
      <c r="G22" t="s">
        <v>36</v>
      </c>
      <c r="H22">
        <v>0.05</v>
      </c>
      <c r="I22" t="s">
        <v>40</v>
      </c>
      <c r="J22">
        <v>114.19</v>
      </c>
      <c r="K22" t="s">
        <v>43</v>
      </c>
      <c r="L22" t="s">
        <v>50</v>
      </c>
      <c r="M22">
        <v>0</v>
      </c>
      <c r="N22" t="s">
        <v>1428</v>
      </c>
      <c r="O22" t="s">
        <v>2765</v>
      </c>
      <c r="P22">
        <v>44.99</v>
      </c>
      <c r="Q22" s="8">
        <v>44944</v>
      </c>
      <c r="R22" s="8">
        <v>44947</v>
      </c>
      <c r="S22" t="s">
        <v>2924</v>
      </c>
    </row>
    <row r="23" spans="1:19" x14ac:dyDescent="0.3">
      <c r="A23" s="8">
        <v>45663</v>
      </c>
      <c r="B23" t="s">
        <v>21</v>
      </c>
      <c r="C23" t="s">
        <v>30</v>
      </c>
      <c r="D23">
        <v>13</v>
      </c>
      <c r="E23">
        <v>483.63</v>
      </c>
      <c r="F23" t="s">
        <v>32</v>
      </c>
      <c r="G23" t="s">
        <v>36</v>
      </c>
      <c r="H23">
        <v>0.05</v>
      </c>
      <c r="I23" t="s">
        <v>40</v>
      </c>
      <c r="J23">
        <v>5972.8304999999991</v>
      </c>
      <c r="K23" t="s">
        <v>47</v>
      </c>
      <c r="L23" t="s">
        <v>48</v>
      </c>
      <c r="M23">
        <v>0</v>
      </c>
      <c r="N23" t="s">
        <v>1418</v>
      </c>
      <c r="O23" t="s">
        <v>2814</v>
      </c>
      <c r="P23">
        <v>18.22</v>
      </c>
      <c r="Q23" s="8">
        <v>45663</v>
      </c>
      <c r="R23" s="8">
        <v>45672</v>
      </c>
      <c r="S23" t="s">
        <v>2924</v>
      </c>
    </row>
    <row r="24" spans="1:19" x14ac:dyDescent="0.3">
      <c r="A24" s="8">
        <v>45663</v>
      </c>
      <c r="B24" t="s">
        <v>21</v>
      </c>
      <c r="C24" t="s">
        <v>28</v>
      </c>
      <c r="D24">
        <v>20</v>
      </c>
      <c r="E24">
        <v>440.32</v>
      </c>
      <c r="F24" t="s">
        <v>33</v>
      </c>
      <c r="G24" t="s">
        <v>36</v>
      </c>
      <c r="H24">
        <v>0.05</v>
      </c>
      <c r="I24" t="s">
        <v>38</v>
      </c>
      <c r="J24">
        <v>8366.08</v>
      </c>
      <c r="K24" t="s">
        <v>46</v>
      </c>
      <c r="L24" t="s">
        <v>49</v>
      </c>
      <c r="M24">
        <v>1</v>
      </c>
      <c r="N24" t="s">
        <v>1413</v>
      </c>
      <c r="O24" t="s">
        <v>2810</v>
      </c>
      <c r="P24">
        <v>6.17</v>
      </c>
      <c r="Q24" s="8">
        <v>45663</v>
      </c>
      <c r="R24" s="8">
        <v>45673</v>
      </c>
      <c r="S24" t="s">
        <v>2924</v>
      </c>
    </row>
    <row r="25" spans="1:19" x14ac:dyDescent="0.3">
      <c r="A25" s="8">
        <v>45320</v>
      </c>
      <c r="B25" t="s">
        <v>20</v>
      </c>
      <c r="C25" t="s">
        <v>29</v>
      </c>
      <c r="D25">
        <v>12</v>
      </c>
      <c r="E25">
        <v>164.22</v>
      </c>
      <c r="F25" t="s">
        <v>33</v>
      </c>
      <c r="G25" t="s">
        <v>36</v>
      </c>
      <c r="H25">
        <v>0</v>
      </c>
      <c r="I25" t="s">
        <v>42</v>
      </c>
      <c r="J25">
        <v>1970.64</v>
      </c>
      <c r="K25" t="s">
        <v>45</v>
      </c>
      <c r="L25" t="s">
        <v>48</v>
      </c>
      <c r="M25">
        <v>0</v>
      </c>
      <c r="N25" t="s">
        <v>1403</v>
      </c>
      <c r="O25" t="s">
        <v>2792</v>
      </c>
      <c r="P25">
        <v>21.46</v>
      </c>
      <c r="Q25" s="8">
        <v>45320</v>
      </c>
      <c r="R25" s="8">
        <v>45325</v>
      </c>
      <c r="S25" t="s">
        <v>2923</v>
      </c>
    </row>
    <row r="26" spans="1:19" x14ac:dyDescent="0.3">
      <c r="A26" s="8">
        <v>45296</v>
      </c>
      <c r="B26" t="s">
        <v>19</v>
      </c>
      <c r="C26" t="s">
        <v>26</v>
      </c>
      <c r="D26">
        <v>2</v>
      </c>
      <c r="E26">
        <v>454.01</v>
      </c>
      <c r="F26" t="s">
        <v>31</v>
      </c>
      <c r="G26" t="s">
        <v>35</v>
      </c>
      <c r="H26">
        <v>0</v>
      </c>
      <c r="I26" t="s">
        <v>41</v>
      </c>
      <c r="J26">
        <v>908.02</v>
      </c>
      <c r="K26" t="s">
        <v>43</v>
      </c>
      <c r="L26" t="s">
        <v>50</v>
      </c>
      <c r="M26">
        <v>0</v>
      </c>
      <c r="N26" t="s">
        <v>1393</v>
      </c>
      <c r="O26" t="s">
        <v>2796</v>
      </c>
      <c r="P26">
        <v>9.7799999999999994</v>
      </c>
      <c r="Q26" s="8">
        <v>45296</v>
      </c>
      <c r="R26" s="8">
        <v>45298</v>
      </c>
      <c r="S26" t="s">
        <v>2922</v>
      </c>
    </row>
    <row r="27" spans="1:19" x14ac:dyDescent="0.3">
      <c r="A27" s="8">
        <v>44939</v>
      </c>
      <c r="B27" t="s">
        <v>19</v>
      </c>
      <c r="C27" t="s">
        <v>29</v>
      </c>
      <c r="D27">
        <v>10</v>
      </c>
      <c r="E27">
        <v>155.43</v>
      </c>
      <c r="F27" t="s">
        <v>34</v>
      </c>
      <c r="G27" t="s">
        <v>35</v>
      </c>
      <c r="H27">
        <v>0.05</v>
      </c>
      <c r="I27" t="s">
        <v>39</v>
      </c>
      <c r="J27">
        <v>1476.585</v>
      </c>
      <c r="K27" t="s">
        <v>44</v>
      </c>
      <c r="L27" t="s">
        <v>50</v>
      </c>
      <c r="M27">
        <v>0</v>
      </c>
      <c r="N27" t="s">
        <v>1378</v>
      </c>
      <c r="O27" t="s">
        <v>2784</v>
      </c>
      <c r="P27">
        <v>26.49</v>
      </c>
      <c r="Q27" s="8">
        <v>44939</v>
      </c>
      <c r="R27" s="8">
        <v>44944</v>
      </c>
      <c r="S27" t="s">
        <v>2922</v>
      </c>
    </row>
    <row r="28" spans="1:19" x14ac:dyDescent="0.3">
      <c r="A28" s="8">
        <v>45293</v>
      </c>
      <c r="B28" t="s">
        <v>22</v>
      </c>
      <c r="C28" t="s">
        <v>26</v>
      </c>
      <c r="D28">
        <v>7</v>
      </c>
      <c r="E28">
        <v>55.76</v>
      </c>
      <c r="F28" t="s">
        <v>33</v>
      </c>
      <c r="G28" t="s">
        <v>35</v>
      </c>
      <c r="H28">
        <v>0.1</v>
      </c>
      <c r="I28" t="s">
        <v>38</v>
      </c>
      <c r="J28">
        <v>351.28800000000001</v>
      </c>
      <c r="K28" t="s">
        <v>43</v>
      </c>
      <c r="M28">
        <v>0</v>
      </c>
      <c r="N28" t="s">
        <v>1364</v>
      </c>
      <c r="O28" t="s">
        <v>2772</v>
      </c>
      <c r="P28">
        <v>38.979999999999997</v>
      </c>
      <c r="Q28" s="8">
        <v>45293</v>
      </c>
      <c r="R28" s="8">
        <v>45302</v>
      </c>
      <c r="S28" t="s">
        <v>2925</v>
      </c>
    </row>
    <row r="29" spans="1:19" x14ac:dyDescent="0.3">
      <c r="A29" s="8">
        <v>45314</v>
      </c>
      <c r="B29" t="s">
        <v>21</v>
      </c>
      <c r="C29" t="s">
        <v>26</v>
      </c>
      <c r="D29">
        <v>19</v>
      </c>
      <c r="E29">
        <v>360.06</v>
      </c>
      <c r="F29" t="s">
        <v>33</v>
      </c>
      <c r="G29" t="s">
        <v>35</v>
      </c>
      <c r="H29">
        <v>0.05</v>
      </c>
      <c r="I29" t="s">
        <v>37</v>
      </c>
      <c r="J29">
        <v>6499.0829999999996</v>
      </c>
      <c r="K29" t="s">
        <v>46</v>
      </c>
      <c r="L29" t="s">
        <v>48</v>
      </c>
      <c r="M29">
        <v>0</v>
      </c>
      <c r="N29" t="s">
        <v>1358</v>
      </c>
      <c r="O29" t="s">
        <v>2431</v>
      </c>
      <c r="P29">
        <v>33.19</v>
      </c>
      <c r="Q29" s="8">
        <v>45314</v>
      </c>
      <c r="R29" s="8">
        <v>45322</v>
      </c>
      <c r="S29" t="s">
        <v>2924</v>
      </c>
    </row>
    <row r="30" spans="1:19" x14ac:dyDescent="0.3">
      <c r="A30" s="8">
        <v>45680</v>
      </c>
      <c r="B30" t="s">
        <v>19</v>
      </c>
      <c r="C30" t="s">
        <v>29</v>
      </c>
      <c r="D30">
        <v>7</v>
      </c>
      <c r="E30">
        <v>196.88</v>
      </c>
      <c r="F30" t="s">
        <v>33</v>
      </c>
      <c r="G30" t="s">
        <v>36</v>
      </c>
      <c r="H30">
        <v>0</v>
      </c>
      <c r="I30" t="s">
        <v>41</v>
      </c>
      <c r="J30">
        <v>1378.16</v>
      </c>
      <c r="K30" t="s">
        <v>46</v>
      </c>
      <c r="L30" t="s">
        <v>49</v>
      </c>
      <c r="M30">
        <v>0</v>
      </c>
      <c r="N30" t="s">
        <v>1351</v>
      </c>
      <c r="O30" t="s">
        <v>2070</v>
      </c>
      <c r="P30">
        <v>44.92</v>
      </c>
      <c r="Q30" s="8">
        <v>45680</v>
      </c>
      <c r="R30" s="8">
        <v>45688</v>
      </c>
      <c r="S30" t="s">
        <v>2922</v>
      </c>
    </row>
    <row r="31" spans="1:19" x14ac:dyDescent="0.3">
      <c r="A31" s="8">
        <v>45301</v>
      </c>
      <c r="B31" t="s">
        <v>21</v>
      </c>
      <c r="C31" t="s">
        <v>30</v>
      </c>
      <c r="D31">
        <v>19</v>
      </c>
      <c r="E31">
        <v>219.7</v>
      </c>
      <c r="F31" t="s">
        <v>32</v>
      </c>
      <c r="G31" t="s">
        <v>36</v>
      </c>
      <c r="H31">
        <v>0</v>
      </c>
      <c r="I31" t="s">
        <v>38</v>
      </c>
      <c r="J31">
        <v>4174.3</v>
      </c>
      <c r="K31" t="s">
        <v>47</v>
      </c>
      <c r="L31" t="s">
        <v>48</v>
      </c>
      <c r="M31">
        <v>0</v>
      </c>
      <c r="N31" t="s">
        <v>1347</v>
      </c>
      <c r="O31" t="s">
        <v>2759</v>
      </c>
      <c r="P31">
        <v>15.38</v>
      </c>
      <c r="Q31" s="8">
        <v>45301</v>
      </c>
      <c r="R31" s="8">
        <v>45307</v>
      </c>
      <c r="S31" t="s">
        <v>2924</v>
      </c>
    </row>
    <row r="32" spans="1:19" x14ac:dyDescent="0.3">
      <c r="A32" s="8">
        <v>44932</v>
      </c>
      <c r="B32" t="s">
        <v>22</v>
      </c>
      <c r="C32" t="s">
        <v>29</v>
      </c>
      <c r="D32">
        <v>11</v>
      </c>
      <c r="E32">
        <v>25.67</v>
      </c>
      <c r="F32" t="s">
        <v>33</v>
      </c>
      <c r="G32" t="s">
        <v>36</v>
      </c>
      <c r="H32">
        <v>0.15</v>
      </c>
      <c r="I32" t="s">
        <v>40</v>
      </c>
      <c r="J32">
        <v>240.0145</v>
      </c>
      <c r="K32" t="s">
        <v>45</v>
      </c>
      <c r="L32" t="s">
        <v>49</v>
      </c>
      <c r="M32">
        <v>0</v>
      </c>
      <c r="N32" t="s">
        <v>1327</v>
      </c>
      <c r="O32" t="s">
        <v>2741</v>
      </c>
      <c r="P32">
        <v>30.12</v>
      </c>
      <c r="Q32" s="8">
        <v>44932</v>
      </c>
      <c r="R32" s="8">
        <v>44934</v>
      </c>
      <c r="S32" t="s">
        <v>2925</v>
      </c>
    </row>
    <row r="33" spans="1:19" x14ac:dyDescent="0.3">
      <c r="A33" s="8">
        <v>45662</v>
      </c>
      <c r="B33" t="s">
        <v>21</v>
      </c>
      <c r="C33" t="s">
        <v>24</v>
      </c>
      <c r="D33">
        <v>8</v>
      </c>
      <c r="E33">
        <v>275.32</v>
      </c>
      <c r="F33" t="s">
        <v>34</v>
      </c>
      <c r="G33" t="s">
        <v>36</v>
      </c>
      <c r="H33">
        <v>0.1</v>
      </c>
      <c r="I33" t="s">
        <v>41</v>
      </c>
      <c r="J33">
        <v>1982.3040000000001</v>
      </c>
      <c r="K33" t="s">
        <v>47</v>
      </c>
      <c r="L33" t="s">
        <v>49</v>
      </c>
      <c r="M33">
        <v>0</v>
      </c>
      <c r="N33" t="s">
        <v>1314</v>
      </c>
      <c r="O33" t="s">
        <v>2728</v>
      </c>
      <c r="P33">
        <v>18.260000000000002</v>
      </c>
      <c r="Q33" s="8">
        <v>45662</v>
      </c>
      <c r="R33" s="8">
        <v>45670</v>
      </c>
      <c r="S33" t="s">
        <v>2924</v>
      </c>
    </row>
    <row r="34" spans="1:19" x14ac:dyDescent="0.3">
      <c r="A34" s="8">
        <v>45293</v>
      </c>
      <c r="B34" t="s">
        <v>19</v>
      </c>
      <c r="C34" t="s">
        <v>29</v>
      </c>
      <c r="D34">
        <v>16</v>
      </c>
      <c r="E34">
        <v>145.30000000000001</v>
      </c>
      <c r="F34" t="s">
        <v>31</v>
      </c>
      <c r="G34" t="s">
        <v>35</v>
      </c>
      <c r="H34">
        <v>0</v>
      </c>
      <c r="I34" t="s">
        <v>37</v>
      </c>
      <c r="J34">
        <v>2324.8000000000002</v>
      </c>
      <c r="K34" t="s">
        <v>45</v>
      </c>
      <c r="L34" t="s">
        <v>48</v>
      </c>
      <c r="M34">
        <v>1</v>
      </c>
      <c r="N34" t="s">
        <v>1309</v>
      </c>
      <c r="O34" t="s">
        <v>2724</v>
      </c>
      <c r="P34">
        <v>29.64</v>
      </c>
      <c r="Q34" s="8">
        <v>45293</v>
      </c>
      <c r="R34" s="8">
        <v>45303</v>
      </c>
      <c r="S34" t="s">
        <v>2922</v>
      </c>
    </row>
    <row r="35" spans="1:19" x14ac:dyDescent="0.3">
      <c r="A35" s="8">
        <v>45662</v>
      </c>
      <c r="B35" t="s">
        <v>21</v>
      </c>
      <c r="C35" t="s">
        <v>30</v>
      </c>
      <c r="D35">
        <v>17</v>
      </c>
      <c r="E35">
        <v>5.91</v>
      </c>
      <c r="F35" t="s">
        <v>32</v>
      </c>
      <c r="G35" t="s">
        <v>35</v>
      </c>
      <c r="H35">
        <v>0.15</v>
      </c>
      <c r="I35" t="s">
        <v>37</v>
      </c>
      <c r="J35">
        <v>85.399500000000003</v>
      </c>
      <c r="K35" t="s">
        <v>43</v>
      </c>
      <c r="L35" t="s">
        <v>49</v>
      </c>
      <c r="M35">
        <v>0</v>
      </c>
      <c r="N35" t="s">
        <v>1304</v>
      </c>
      <c r="O35" t="s">
        <v>2720</v>
      </c>
      <c r="P35">
        <v>44.85</v>
      </c>
      <c r="Q35" s="8">
        <v>45662</v>
      </c>
      <c r="R35" s="8">
        <v>45670</v>
      </c>
      <c r="S35" t="s">
        <v>2924</v>
      </c>
    </row>
    <row r="36" spans="1:19" x14ac:dyDescent="0.3">
      <c r="A36" s="8">
        <v>44943</v>
      </c>
      <c r="B36" t="s">
        <v>21</v>
      </c>
      <c r="C36" t="s">
        <v>27</v>
      </c>
      <c r="D36">
        <v>18</v>
      </c>
      <c r="E36">
        <v>108.46</v>
      </c>
      <c r="F36" t="s">
        <v>34</v>
      </c>
      <c r="G36" t="s">
        <v>35</v>
      </c>
      <c r="H36">
        <v>0.05</v>
      </c>
      <c r="I36" t="s">
        <v>39</v>
      </c>
      <c r="J36">
        <v>1854.6659999999999</v>
      </c>
      <c r="K36" t="s">
        <v>43</v>
      </c>
      <c r="L36" t="s">
        <v>49</v>
      </c>
      <c r="M36">
        <v>0</v>
      </c>
      <c r="N36" t="s">
        <v>1302</v>
      </c>
      <c r="O36" t="s">
        <v>2718</v>
      </c>
      <c r="P36">
        <v>10.72</v>
      </c>
      <c r="Q36" s="8">
        <v>44943</v>
      </c>
      <c r="R36" s="8">
        <v>44950</v>
      </c>
      <c r="S36" t="s">
        <v>2924</v>
      </c>
    </row>
    <row r="37" spans="1:19" x14ac:dyDescent="0.3">
      <c r="A37" s="8">
        <v>45684</v>
      </c>
      <c r="B37" t="s">
        <v>21</v>
      </c>
      <c r="C37" t="s">
        <v>29</v>
      </c>
      <c r="D37">
        <v>8</v>
      </c>
      <c r="E37">
        <v>352.72</v>
      </c>
      <c r="F37" t="s">
        <v>33</v>
      </c>
      <c r="G37" t="s">
        <v>36</v>
      </c>
      <c r="H37">
        <v>0.05</v>
      </c>
      <c r="I37" t="s">
        <v>40</v>
      </c>
      <c r="J37">
        <v>2680.672</v>
      </c>
      <c r="K37" t="s">
        <v>47</v>
      </c>
      <c r="M37">
        <v>0</v>
      </c>
      <c r="N37" t="s">
        <v>1299</v>
      </c>
      <c r="O37" t="s">
        <v>2716</v>
      </c>
      <c r="P37">
        <v>30.8</v>
      </c>
      <c r="Q37" s="8">
        <v>45684</v>
      </c>
      <c r="R37" s="8">
        <v>45692</v>
      </c>
      <c r="S37" t="s">
        <v>2924</v>
      </c>
    </row>
    <row r="38" spans="1:19" x14ac:dyDescent="0.3">
      <c r="A38" s="8">
        <v>45299</v>
      </c>
      <c r="B38" t="s">
        <v>20</v>
      </c>
      <c r="C38" t="s">
        <v>27</v>
      </c>
      <c r="D38">
        <v>7</v>
      </c>
      <c r="E38">
        <v>562.6</v>
      </c>
      <c r="F38" t="s">
        <v>32</v>
      </c>
      <c r="G38" t="s">
        <v>36</v>
      </c>
      <c r="H38">
        <v>0.15</v>
      </c>
      <c r="I38" t="s">
        <v>37</v>
      </c>
      <c r="J38">
        <v>3347.47</v>
      </c>
      <c r="K38" t="s">
        <v>43</v>
      </c>
      <c r="L38" t="s">
        <v>50</v>
      </c>
      <c r="M38">
        <v>0</v>
      </c>
      <c r="N38" t="s">
        <v>1289</v>
      </c>
      <c r="O38" t="s">
        <v>2708</v>
      </c>
      <c r="P38">
        <v>19.95</v>
      </c>
      <c r="Q38" s="8">
        <v>45299</v>
      </c>
      <c r="R38" s="8">
        <v>45303</v>
      </c>
      <c r="S38" t="s">
        <v>2923</v>
      </c>
    </row>
    <row r="39" spans="1:19" x14ac:dyDescent="0.3">
      <c r="A39" s="8">
        <v>44956</v>
      </c>
      <c r="B39" t="s">
        <v>23</v>
      </c>
      <c r="C39" t="s">
        <v>27</v>
      </c>
      <c r="D39">
        <v>15</v>
      </c>
      <c r="E39">
        <v>274.3</v>
      </c>
      <c r="F39" t="s">
        <v>31</v>
      </c>
      <c r="G39" t="s">
        <v>36</v>
      </c>
      <c r="H39">
        <v>0.15</v>
      </c>
      <c r="I39" t="s">
        <v>39</v>
      </c>
      <c r="J39">
        <v>3497.3249999999998</v>
      </c>
      <c r="K39" t="s">
        <v>45</v>
      </c>
      <c r="M39">
        <v>0</v>
      </c>
      <c r="N39" t="s">
        <v>1287</v>
      </c>
      <c r="O39" t="s">
        <v>2706</v>
      </c>
      <c r="P39">
        <v>21.56</v>
      </c>
      <c r="Q39" s="8">
        <v>44956</v>
      </c>
      <c r="R39" s="8">
        <v>44965</v>
      </c>
      <c r="S39" t="s">
        <v>2926</v>
      </c>
    </row>
    <row r="40" spans="1:19" x14ac:dyDescent="0.3">
      <c r="A40" s="8">
        <v>44937</v>
      </c>
      <c r="B40" t="s">
        <v>19</v>
      </c>
      <c r="C40" t="s">
        <v>28</v>
      </c>
      <c r="D40">
        <v>13</v>
      </c>
      <c r="E40">
        <v>515.41999999999996</v>
      </c>
      <c r="F40" t="s">
        <v>34</v>
      </c>
      <c r="G40" t="s">
        <v>36</v>
      </c>
      <c r="H40">
        <v>0</v>
      </c>
      <c r="I40" t="s">
        <v>42</v>
      </c>
      <c r="J40">
        <v>6700.4599999999991</v>
      </c>
      <c r="K40" t="s">
        <v>43</v>
      </c>
      <c r="L40" t="s">
        <v>48</v>
      </c>
      <c r="M40">
        <v>0</v>
      </c>
      <c r="N40" t="s">
        <v>1280</v>
      </c>
      <c r="O40" t="s">
        <v>2699</v>
      </c>
      <c r="P40">
        <v>43.37</v>
      </c>
      <c r="Q40" s="8">
        <v>44937</v>
      </c>
      <c r="R40" s="8">
        <v>44946</v>
      </c>
      <c r="S40" t="s">
        <v>2922</v>
      </c>
    </row>
    <row r="41" spans="1:19" x14ac:dyDescent="0.3">
      <c r="A41" s="8">
        <v>44952</v>
      </c>
      <c r="B41" t="s">
        <v>20</v>
      </c>
      <c r="C41" t="s">
        <v>30</v>
      </c>
      <c r="D41">
        <v>14</v>
      </c>
      <c r="E41">
        <v>209.82</v>
      </c>
      <c r="F41" t="s">
        <v>31</v>
      </c>
      <c r="G41" t="s">
        <v>35</v>
      </c>
      <c r="H41">
        <v>0</v>
      </c>
      <c r="I41" t="s">
        <v>37</v>
      </c>
      <c r="J41">
        <v>2937.48</v>
      </c>
      <c r="K41" t="s">
        <v>47</v>
      </c>
      <c r="L41" t="s">
        <v>49</v>
      </c>
      <c r="M41">
        <v>0</v>
      </c>
      <c r="N41" t="s">
        <v>1256</v>
      </c>
      <c r="O41" t="s">
        <v>2675</v>
      </c>
      <c r="P41">
        <v>36.11</v>
      </c>
      <c r="Q41" s="8">
        <v>44952</v>
      </c>
      <c r="R41" s="8">
        <v>44956</v>
      </c>
      <c r="S41" t="s">
        <v>2923</v>
      </c>
    </row>
    <row r="42" spans="1:19" x14ac:dyDescent="0.3">
      <c r="A42" s="8">
        <v>45671</v>
      </c>
      <c r="B42" t="s">
        <v>22</v>
      </c>
      <c r="C42" t="s">
        <v>28</v>
      </c>
      <c r="D42">
        <v>6</v>
      </c>
      <c r="E42">
        <v>162.35</v>
      </c>
      <c r="F42" t="s">
        <v>31</v>
      </c>
      <c r="G42" t="s">
        <v>35</v>
      </c>
      <c r="H42">
        <v>0.05</v>
      </c>
      <c r="I42" t="s">
        <v>37</v>
      </c>
      <c r="J42">
        <v>925.39499999999987</v>
      </c>
      <c r="K42" t="s">
        <v>45</v>
      </c>
      <c r="L42" t="s">
        <v>49</v>
      </c>
      <c r="M42">
        <v>1</v>
      </c>
      <c r="N42" t="s">
        <v>1255</v>
      </c>
      <c r="O42" t="s">
        <v>2674</v>
      </c>
      <c r="P42">
        <v>19.18</v>
      </c>
      <c r="Q42" s="8">
        <v>45671</v>
      </c>
      <c r="R42" s="8">
        <v>45677</v>
      </c>
      <c r="S42" t="s">
        <v>2925</v>
      </c>
    </row>
    <row r="43" spans="1:19" x14ac:dyDescent="0.3">
      <c r="A43" s="8">
        <v>45663</v>
      </c>
      <c r="B43" t="s">
        <v>23</v>
      </c>
      <c r="C43" t="s">
        <v>29</v>
      </c>
      <c r="D43">
        <v>17</v>
      </c>
      <c r="E43">
        <v>129.62</v>
      </c>
      <c r="F43" t="s">
        <v>34</v>
      </c>
      <c r="G43" t="s">
        <v>36</v>
      </c>
      <c r="H43">
        <v>0.15</v>
      </c>
      <c r="I43" t="s">
        <v>37</v>
      </c>
      <c r="J43">
        <v>1873.009</v>
      </c>
      <c r="K43" t="s">
        <v>43</v>
      </c>
      <c r="L43" t="s">
        <v>48</v>
      </c>
      <c r="M43">
        <v>0</v>
      </c>
      <c r="N43" t="s">
        <v>1254</v>
      </c>
      <c r="O43" t="s">
        <v>2673</v>
      </c>
      <c r="P43">
        <v>24.28</v>
      </c>
      <c r="Q43" s="8">
        <v>45663</v>
      </c>
      <c r="R43" s="8">
        <v>45665</v>
      </c>
      <c r="S43" t="s">
        <v>2926</v>
      </c>
    </row>
    <row r="44" spans="1:19" x14ac:dyDescent="0.3">
      <c r="A44" s="8">
        <v>44946</v>
      </c>
      <c r="B44" t="s">
        <v>21</v>
      </c>
      <c r="C44" t="s">
        <v>29</v>
      </c>
      <c r="D44">
        <v>4</v>
      </c>
      <c r="E44">
        <v>423.99</v>
      </c>
      <c r="F44" t="s">
        <v>31</v>
      </c>
      <c r="G44" t="s">
        <v>36</v>
      </c>
      <c r="H44">
        <v>0.05</v>
      </c>
      <c r="I44" t="s">
        <v>39</v>
      </c>
      <c r="J44">
        <v>1611.162</v>
      </c>
      <c r="K44" t="s">
        <v>43</v>
      </c>
      <c r="L44" t="s">
        <v>48</v>
      </c>
      <c r="M44">
        <v>0</v>
      </c>
      <c r="N44" t="s">
        <v>1242</v>
      </c>
      <c r="O44" t="s">
        <v>2663</v>
      </c>
      <c r="P44">
        <v>20.05</v>
      </c>
      <c r="Q44" s="8">
        <v>44946</v>
      </c>
      <c r="R44" s="8">
        <v>44951</v>
      </c>
      <c r="S44" t="s">
        <v>2924</v>
      </c>
    </row>
    <row r="45" spans="1:19" x14ac:dyDescent="0.3">
      <c r="A45" s="8">
        <v>45294</v>
      </c>
      <c r="B45" t="s">
        <v>23</v>
      </c>
      <c r="C45" t="s">
        <v>24</v>
      </c>
      <c r="D45">
        <v>2</v>
      </c>
      <c r="E45">
        <v>132.91</v>
      </c>
      <c r="F45" t="s">
        <v>32</v>
      </c>
      <c r="G45" t="s">
        <v>35</v>
      </c>
      <c r="H45">
        <v>0</v>
      </c>
      <c r="I45" t="s">
        <v>42</v>
      </c>
      <c r="J45">
        <v>265.82</v>
      </c>
      <c r="K45" t="s">
        <v>46</v>
      </c>
      <c r="L45" t="s">
        <v>50</v>
      </c>
      <c r="M45">
        <v>0</v>
      </c>
      <c r="N45" t="s">
        <v>1235</v>
      </c>
      <c r="O45" t="s">
        <v>2657</v>
      </c>
      <c r="P45">
        <v>7.76</v>
      </c>
      <c r="Q45" s="8">
        <v>45294</v>
      </c>
      <c r="R45" s="8">
        <v>45303</v>
      </c>
      <c r="S45" t="s">
        <v>2926</v>
      </c>
    </row>
    <row r="46" spans="1:19" x14ac:dyDescent="0.3">
      <c r="A46" s="8">
        <v>44940</v>
      </c>
      <c r="B46" t="s">
        <v>19</v>
      </c>
      <c r="C46" t="s">
        <v>25</v>
      </c>
      <c r="D46">
        <v>17</v>
      </c>
      <c r="E46">
        <v>226.56</v>
      </c>
      <c r="F46" t="s">
        <v>32</v>
      </c>
      <c r="G46" t="s">
        <v>35</v>
      </c>
      <c r="H46">
        <v>0.1</v>
      </c>
      <c r="I46" t="s">
        <v>41</v>
      </c>
      <c r="J46">
        <v>3466.3679999999999</v>
      </c>
      <c r="K46" t="s">
        <v>44</v>
      </c>
      <c r="L46" t="s">
        <v>50</v>
      </c>
      <c r="M46">
        <v>1</v>
      </c>
      <c r="N46" t="s">
        <v>1234</v>
      </c>
      <c r="O46" t="s">
        <v>2656</v>
      </c>
      <c r="P46">
        <v>36.89</v>
      </c>
      <c r="Q46" s="8">
        <v>44940</v>
      </c>
      <c r="R46" s="8">
        <v>44946</v>
      </c>
      <c r="S46" t="s">
        <v>2922</v>
      </c>
    </row>
    <row r="47" spans="1:19" x14ac:dyDescent="0.3">
      <c r="A47" s="8">
        <v>45298</v>
      </c>
      <c r="B47" t="s">
        <v>21</v>
      </c>
      <c r="C47" t="s">
        <v>27</v>
      </c>
      <c r="D47">
        <v>5</v>
      </c>
      <c r="E47">
        <v>454.62</v>
      </c>
      <c r="F47" t="s">
        <v>33</v>
      </c>
      <c r="G47" t="s">
        <v>35</v>
      </c>
      <c r="H47">
        <v>0.05</v>
      </c>
      <c r="I47" t="s">
        <v>41</v>
      </c>
      <c r="J47">
        <v>2159.4450000000002</v>
      </c>
      <c r="K47" t="s">
        <v>44</v>
      </c>
      <c r="M47">
        <v>0</v>
      </c>
      <c r="N47" t="s">
        <v>1233</v>
      </c>
      <c r="O47" t="s">
        <v>2655</v>
      </c>
      <c r="P47">
        <v>10.19</v>
      </c>
      <c r="Q47" s="8">
        <v>45298</v>
      </c>
      <c r="R47" s="8">
        <v>45306</v>
      </c>
      <c r="S47" t="s">
        <v>2924</v>
      </c>
    </row>
    <row r="48" spans="1:19" x14ac:dyDescent="0.3">
      <c r="A48" s="8">
        <v>45304</v>
      </c>
      <c r="B48" t="s">
        <v>20</v>
      </c>
      <c r="C48" t="s">
        <v>26</v>
      </c>
      <c r="D48">
        <v>12</v>
      </c>
      <c r="E48">
        <v>103.59</v>
      </c>
      <c r="F48" t="s">
        <v>32</v>
      </c>
      <c r="G48" t="s">
        <v>36</v>
      </c>
      <c r="H48">
        <v>0.1</v>
      </c>
      <c r="I48" t="s">
        <v>39</v>
      </c>
      <c r="J48">
        <v>1118.7719999999999</v>
      </c>
      <c r="K48" t="s">
        <v>46</v>
      </c>
      <c r="L48" t="s">
        <v>48</v>
      </c>
      <c r="M48">
        <v>0</v>
      </c>
      <c r="N48" t="s">
        <v>1214</v>
      </c>
      <c r="O48" t="s">
        <v>2637</v>
      </c>
      <c r="P48">
        <v>48.11</v>
      </c>
      <c r="Q48" s="8">
        <v>45304</v>
      </c>
      <c r="R48" s="8">
        <v>45312</v>
      </c>
      <c r="S48" t="s">
        <v>2923</v>
      </c>
    </row>
    <row r="49" spans="1:19" x14ac:dyDescent="0.3">
      <c r="A49" s="8">
        <v>45306</v>
      </c>
      <c r="B49" t="s">
        <v>22</v>
      </c>
      <c r="C49" t="s">
        <v>30</v>
      </c>
      <c r="D49">
        <v>20</v>
      </c>
      <c r="E49">
        <v>200.7</v>
      </c>
      <c r="F49" t="s">
        <v>34</v>
      </c>
      <c r="G49" t="s">
        <v>36</v>
      </c>
      <c r="H49">
        <v>0.1</v>
      </c>
      <c r="I49" t="s">
        <v>38</v>
      </c>
      <c r="J49">
        <v>3612.6</v>
      </c>
      <c r="K49" t="s">
        <v>43</v>
      </c>
      <c r="L49" t="s">
        <v>48</v>
      </c>
      <c r="M49">
        <v>0</v>
      </c>
      <c r="N49" t="s">
        <v>1211</v>
      </c>
      <c r="O49" t="s">
        <v>2634</v>
      </c>
      <c r="P49">
        <v>29.6</v>
      </c>
      <c r="Q49" s="8">
        <v>45306</v>
      </c>
      <c r="R49" s="8">
        <v>45310</v>
      </c>
      <c r="S49" t="s">
        <v>2925</v>
      </c>
    </row>
    <row r="50" spans="1:19" x14ac:dyDescent="0.3">
      <c r="A50" s="8">
        <v>45674</v>
      </c>
      <c r="B50" t="s">
        <v>20</v>
      </c>
      <c r="C50" t="s">
        <v>26</v>
      </c>
      <c r="D50">
        <v>9</v>
      </c>
      <c r="E50">
        <v>96.97</v>
      </c>
      <c r="F50" t="s">
        <v>34</v>
      </c>
      <c r="G50" t="s">
        <v>36</v>
      </c>
      <c r="H50">
        <v>0.15</v>
      </c>
      <c r="I50" t="s">
        <v>42</v>
      </c>
      <c r="J50">
        <v>741.82050000000004</v>
      </c>
      <c r="K50" t="s">
        <v>45</v>
      </c>
      <c r="L50" t="s">
        <v>50</v>
      </c>
      <c r="M50">
        <v>1</v>
      </c>
      <c r="N50" t="s">
        <v>1203</v>
      </c>
      <c r="O50" t="s">
        <v>2626</v>
      </c>
      <c r="P50">
        <v>30.87</v>
      </c>
      <c r="Q50" s="8">
        <v>45674</v>
      </c>
      <c r="R50" s="8">
        <v>45681</v>
      </c>
      <c r="S50" t="s">
        <v>2923</v>
      </c>
    </row>
    <row r="51" spans="1:19" x14ac:dyDescent="0.3">
      <c r="A51" s="8">
        <v>45300</v>
      </c>
      <c r="B51" t="s">
        <v>19</v>
      </c>
      <c r="C51" t="s">
        <v>29</v>
      </c>
      <c r="D51">
        <v>8</v>
      </c>
      <c r="E51">
        <v>582.52</v>
      </c>
      <c r="F51" t="s">
        <v>34</v>
      </c>
      <c r="G51" t="s">
        <v>36</v>
      </c>
      <c r="H51">
        <v>0.15</v>
      </c>
      <c r="I51" t="s">
        <v>39</v>
      </c>
      <c r="J51">
        <v>3961.136</v>
      </c>
      <c r="K51" t="s">
        <v>44</v>
      </c>
      <c r="L51" t="s">
        <v>50</v>
      </c>
      <c r="M51">
        <v>0</v>
      </c>
      <c r="N51" t="s">
        <v>98</v>
      </c>
      <c r="O51" t="s">
        <v>1598</v>
      </c>
      <c r="P51">
        <v>6.47</v>
      </c>
      <c r="Q51" s="8">
        <v>45300</v>
      </c>
      <c r="R51" s="8">
        <v>45304</v>
      </c>
      <c r="S51" t="s">
        <v>2922</v>
      </c>
    </row>
    <row r="52" spans="1:19" x14ac:dyDescent="0.3">
      <c r="A52" s="8">
        <v>44943</v>
      </c>
      <c r="B52" t="s">
        <v>20</v>
      </c>
      <c r="C52" t="s">
        <v>27</v>
      </c>
      <c r="D52">
        <v>3</v>
      </c>
      <c r="E52">
        <v>348.38</v>
      </c>
      <c r="F52" t="s">
        <v>31</v>
      </c>
      <c r="G52" t="s">
        <v>35</v>
      </c>
      <c r="H52">
        <v>0</v>
      </c>
      <c r="I52" t="s">
        <v>40</v>
      </c>
      <c r="J52">
        <v>1045.1400000000001</v>
      </c>
      <c r="K52" t="s">
        <v>44</v>
      </c>
      <c r="L52" t="s">
        <v>48</v>
      </c>
      <c r="M52">
        <v>0</v>
      </c>
      <c r="N52" t="s">
        <v>1196</v>
      </c>
      <c r="O52" t="s">
        <v>2620</v>
      </c>
      <c r="P52">
        <v>26.25</v>
      </c>
      <c r="Q52" s="8">
        <v>44943</v>
      </c>
      <c r="R52" s="8">
        <v>44949</v>
      </c>
      <c r="S52" t="s">
        <v>2923</v>
      </c>
    </row>
    <row r="53" spans="1:19" x14ac:dyDescent="0.3">
      <c r="A53" s="8">
        <v>44945</v>
      </c>
      <c r="B53" t="s">
        <v>19</v>
      </c>
      <c r="C53" t="s">
        <v>25</v>
      </c>
      <c r="D53">
        <v>8</v>
      </c>
      <c r="E53">
        <v>277.43</v>
      </c>
      <c r="F53" t="s">
        <v>34</v>
      </c>
      <c r="G53" t="s">
        <v>35</v>
      </c>
      <c r="H53">
        <v>0</v>
      </c>
      <c r="I53" t="s">
        <v>40</v>
      </c>
      <c r="J53">
        <v>2219.44</v>
      </c>
      <c r="K53" t="s">
        <v>43</v>
      </c>
      <c r="L53" t="s">
        <v>49</v>
      </c>
      <c r="M53">
        <v>0</v>
      </c>
      <c r="N53" t="s">
        <v>1177</v>
      </c>
      <c r="O53" t="s">
        <v>2604</v>
      </c>
      <c r="P53">
        <v>36.380000000000003</v>
      </c>
      <c r="Q53" s="8">
        <v>44945</v>
      </c>
      <c r="R53" s="8">
        <v>44949</v>
      </c>
      <c r="S53" t="s">
        <v>2922</v>
      </c>
    </row>
    <row r="54" spans="1:19" x14ac:dyDescent="0.3">
      <c r="A54" s="8">
        <v>45320</v>
      </c>
      <c r="B54" t="s">
        <v>21</v>
      </c>
      <c r="C54" t="s">
        <v>26</v>
      </c>
      <c r="D54">
        <v>19</v>
      </c>
      <c r="E54">
        <v>113.42</v>
      </c>
      <c r="F54" t="s">
        <v>32</v>
      </c>
      <c r="G54" t="s">
        <v>36</v>
      </c>
      <c r="H54">
        <v>0</v>
      </c>
      <c r="I54" t="s">
        <v>37</v>
      </c>
      <c r="J54">
        <v>2154.98</v>
      </c>
      <c r="K54" t="s">
        <v>46</v>
      </c>
      <c r="L54" t="s">
        <v>50</v>
      </c>
      <c r="M54">
        <v>0</v>
      </c>
      <c r="N54" t="s">
        <v>1163</v>
      </c>
      <c r="O54" t="s">
        <v>2590</v>
      </c>
      <c r="P54">
        <v>44.96</v>
      </c>
      <c r="Q54" s="8">
        <v>45320</v>
      </c>
      <c r="R54" s="8">
        <v>45329</v>
      </c>
      <c r="S54" t="s">
        <v>2924</v>
      </c>
    </row>
    <row r="55" spans="1:19" x14ac:dyDescent="0.3">
      <c r="A55" s="8">
        <v>45674</v>
      </c>
      <c r="B55" t="s">
        <v>23</v>
      </c>
      <c r="C55" t="s">
        <v>27</v>
      </c>
      <c r="D55">
        <v>2</v>
      </c>
      <c r="E55">
        <v>251.69</v>
      </c>
      <c r="F55" t="s">
        <v>33</v>
      </c>
      <c r="G55" t="s">
        <v>35</v>
      </c>
      <c r="H55">
        <v>0</v>
      </c>
      <c r="I55" t="s">
        <v>38</v>
      </c>
      <c r="J55">
        <v>503.38</v>
      </c>
      <c r="K55" t="s">
        <v>46</v>
      </c>
      <c r="L55" t="s">
        <v>48</v>
      </c>
      <c r="M55">
        <v>0</v>
      </c>
      <c r="N55" t="s">
        <v>102</v>
      </c>
      <c r="O55" t="s">
        <v>1602</v>
      </c>
      <c r="P55">
        <v>42.49</v>
      </c>
      <c r="Q55" s="8">
        <v>45674</v>
      </c>
      <c r="R55" s="8">
        <v>45681</v>
      </c>
      <c r="S55" t="s">
        <v>2926</v>
      </c>
    </row>
    <row r="56" spans="1:19" x14ac:dyDescent="0.3">
      <c r="A56" s="8">
        <v>44955</v>
      </c>
      <c r="B56" t="s">
        <v>21</v>
      </c>
      <c r="C56" t="s">
        <v>30</v>
      </c>
      <c r="D56">
        <v>10</v>
      </c>
      <c r="E56">
        <v>140.5</v>
      </c>
      <c r="F56" t="s">
        <v>31</v>
      </c>
      <c r="G56" t="s">
        <v>36</v>
      </c>
      <c r="H56">
        <v>0.15</v>
      </c>
      <c r="I56" t="s">
        <v>40</v>
      </c>
      <c r="J56">
        <v>1194.25</v>
      </c>
      <c r="K56" t="s">
        <v>43</v>
      </c>
      <c r="L56" t="s">
        <v>48</v>
      </c>
      <c r="M56">
        <v>0</v>
      </c>
      <c r="N56" t="s">
        <v>1152</v>
      </c>
      <c r="O56" t="s">
        <v>2253</v>
      </c>
      <c r="P56">
        <v>43.81</v>
      </c>
      <c r="Q56" s="8">
        <v>44955</v>
      </c>
      <c r="R56" s="8">
        <v>44962</v>
      </c>
      <c r="S56" t="s">
        <v>2924</v>
      </c>
    </row>
    <row r="57" spans="1:19" x14ac:dyDescent="0.3">
      <c r="A57" s="8">
        <v>45296</v>
      </c>
      <c r="B57" t="s">
        <v>20</v>
      </c>
      <c r="C57" t="s">
        <v>28</v>
      </c>
      <c r="D57">
        <v>2</v>
      </c>
      <c r="E57">
        <v>371.3</v>
      </c>
      <c r="F57" t="s">
        <v>31</v>
      </c>
      <c r="G57" t="s">
        <v>35</v>
      </c>
      <c r="H57">
        <v>0.05</v>
      </c>
      <c r="I57" t="s">
        <v>42</v>
      </c>
      <c r="J57">
        <v>705.47</v>
      </c>
      <c r="K57" t="s">
        <v>45</v>
      </c>
      <c r="L57" t="s">
        <v>49</v>
      </c>
      <c r="M57">
        <v>0</v>
      </c>
      <c r="N57" t="s">
        <v>104</v>
      </c>
      <c r="O57" t="s">
        <v>1604</v>
      </c>
      <c r="P57">
        <v>36.51</v>
      </c>
      <c r="Q57" s="8">
        <v>45296</v>
      </c>
      <c r="R57" s="8">
        <v>45306</v>
      </c>
      <c r="S57" t="s">
        <v>2923</v>
      </c>
    </row>
    <row r="58" spans="1:19" x14ac:dyDescent="0.3">
      <c r="A58" s="8">
        <v>44936</v>
      </c>
      <c r="B58" t="s">
        <v>19</v>
      </c>
      <c r="C58" t="s">
        <v>26</v>
      </c>
      <c r="D58">
        <v>13</v>
      </c>
      <c r="E58">
        <v>347.73</v>
      </c>
      <c r="F58" t="s">
        <v>31</v>
      </c>
      <c r="G58" t="s">
        <v>35</v>
      </c>
      <c r="H58">
        <v>0.05</v>
      </c>
      <c r="I58" t="s">
        <v>41</v>
      </c>
      <c r="J58">
        <v>4294.4654999999993</v>
      </c>
      <c r="K58" t="s">
        <v>44</v>
      </c>
      <c r="L58" t="s">
        <v>48</v>
      </c>
      <c r="M58">
        <v>1</v>
      </c>
      <c r="N58" t="s">
        <v>1139</v>
      </c>
      <c r="O58" t="s">
        <v>2569</v>
      </c>
      <c r="P58">
        <v>31.81</v>
      </c>
      <c r="Q58" s="8">
        <v>44936</v>
      </c>
      <c r="R58" s="8">
        <v>44946</v>
      </c>
      <c r="S58" t="s">
        <v>2922</v>
      </c>
    </row>
    <row r="59" spans="1:19" x14ac:dyDescent="0.3">
      <c r="A59" s="8">
        <v>44936</v>
      </c>
      <c r="B59" t="s">
        <v>19</v>
      </c>
      <c r="C59" t="s">
        <v>27</v>
      </c>
      <c r="D59">
        <v>6</v>
      </c>
      <c r="E59">
        <v>176.52</v>
      </c>
      <c r="F59" t="s">
        <v>34</v>
      </c>
      <c r="G59" t="s">
        <v>35</v>
      </c>
      <c r="H59">
        <v>0.15</v>
      </c>
      <c r="I59" t="s">
        <v>38</v>
      </c>
      <c r="J59">
        <v>900.25200000000007</v>
      </c>
      <c r="K59" t="s">
        <v>43</v>
      </c>
      <c r="L59" t="s">
        <v>48</v>
      </c>
      <c r="M59">
        <v>0</v>
      </c>
      <c r="N59" t="s">
        <v>1134</v>
      </c>
      <c r="O59" t="s">
        <v>2564</v>
      </c>
      <c r="P59">
        <v>16.98</v>
      </c>
      <c r="Q59" s="8">
        <v>44936</v>
      </c>
      <c r="R59" s="8">
        <v>44939</v>
      </c>
      <c r="S59" t="s">
        <v>2922</v>
      </c>
    </row>
    <row r="60" spans="1:19" x14ac:dyDescent="0.3">
      <c r="A60" s="8">
        <v>45322</v>
      </c>
      <c r="B60" t="s">
        <v>21</v>
      </c>
      <c r="C60" t="s">
        <v>30</v>
      </c>
      <c r="D60">
        <v>5</v>
      </c>
      <c r="E60">
        <v>232.29</v>
      </c>
      <c r="F60" t="s">
        <v>32</v>
      </c>
      <c r="G60" t="s">
        <v>35</v>
      </c>
      <c r="H60">
        <v>0</v>
      </c>
      <c r="I60" t="s">
        <v>38</v>
      </c>
      <c r="J60">
        <v>1161.45</v>
      </c>
      <c r="K60" t="s">
        <v>43</v>
      </c>
      <c r="M60">
        <v>1</v>
      </c>
      <c r="N60" t="s">
        <v>1115</v>
      </c>
      <c r="O60" t="s">
        <v>2548</v>
      </c>
      <c r="P60">
        <v>42.38</v>
      </c>
      <c r="Q60" s="8">
        <v>45322</v>
      </c>
      <c r="R60" s="8">
        <v>45331</v>
      </c>
      <c r="S60" t="s">
        <v>2924</v>
      </c>
    </row>
    <row r="61" spans="1:19" x14ac:dyDescent="0.3">
      <c r="A61" s="8">
        <v>45661</v>
      </c>
      <c r="B61" t="s">
        <v>23</v>
      </c>
      <c r="C61" t="s">
        <v>30</v>
      </c>
      <c r="D61">
        <v>6</v>
      </c>
      <c r="E61">
        <v>540.54</v>
      </c>
      <c r="F61" t="s">
        <v>32</v>
      </c>
      <c r="G61" t="s">
        <v>36</v>
      </c>
      <c r="H61">
        <v>0.05</v>
      </c>
      <c r="I61" t="s">
        <v>40</v>
      </c>
      <c r="J61">
        <v>3081.078</v>
      </c>
      <c r="K61" t="s">
        <v>46</v>
      </c>
      <c r="L61" t="s">
        <v>49</v>
      </c>
      <c r="M61">
        <v>0</v>
      </c>
      <c r="N61" t="s">
        <v>1107</v>
      </c>
      <c r="O61" t="s">
        <v>2541</v>
      </c>
      <c r="P61">
        <v>19.77</v>
      </c>
      <c r="Q61" s="8">
        <v>45661</v>
      </c>
      <c r="R61" s="8">
        <v>45667</v>
      </c>
      <c r="S61" t="s">
        <v>2926</v>
      </c>
    </row>
    <row r="62" spans="1:19" x14ac:dyDescent="0.3">
      <c r="A62" s="8">
        <v>44953</v>
      </c>
      <c r="B62" t="s">
        <v>20</v>
      </c>
      <c r="C62" t="s">
        <v>25</v>
      </c>
      <c r="D62">
        <v>11</v>
      </c>
      <c r="E62">
        <v>375.48</v>
      </c>
      <c r="F62" t="s">
        <v>31</v>
      </c>
      <c r="G62" t="s">
        <v>36</v>
      </c>
      <c r="H62">
        <v>0.05</v>
      </c>
      <c r="I62" t="s">
        <v>42</v>
      </c>
      <c r="J62">
        <v>3923.766000000001</v>
      </c>
      <c r="K62" t="s">
        <v>46</v>
      </c>
      <c r="L62" t="s">
        <v>50</v>
      </c>
      <c r="M62">
        <v>0</v>
      </c>
      <c r="N62" t="s">
        <v>109</v>
      </c>
      <c r="O62" t="s">
        <v>1609</v>
      </c>
      <c r="P62">
        <v>15.95</v>
      </c>
      <c r="Q62" s="8">
        <v>44953</v>
      </c>
      <c r="R62" s="8">
        <v>44960</v>
      </c>
      <c r="S62" t="s">
        <v>2923</v>
      </c>
    </row>
    <row r="63" spans="1:19" x14ac:dyDescent="0.3">
      <c r="A63" s="8">
        <v>45668</v>
      </c>
      <c r="B63" t="s">
        <v>21</v>
      </c>
      <c r="C63" t="s">
        <v>29</v>
      </c>
      <c r="D63">
        <v>16</v>
      </c>
      <c r="E63">
        <v>332.19</v>
      </c>
      <c r="F63" t="s">
        <v>33</v>
      </c>
      <c r="G63" t="s">
        <v>36</v>
      </c>
      <c r="H63">
        <v>0.1</v>
      </c>
      <c r="I63" t="s">
        <v>37</v>
      </c>
      <c r="J63">
        <v>4783.5360000000001</v>
      </c>
      <c r="K63" t="s">
        <v>45</v>
      </c>
      <c r="L63" t="s">
        <v>49</v>
      </c>
      <c r="M63">
        <v>1</v>
      </c>
      <c r="N63" t="s">
        <v>1105</v>
      </c>
      <c r="O63" t="s">
        <v>2539</v>
      </c>
      <c r="P63">
        <v>34.97</v>
      </c>
      <c r="Q63" s="8">
        <v>45668</v>
      </c>
      <c r="R63" s="8">
        <v>45676</v>
      </c>
      <c r="S63" t="s">
        <v>2924</v>
      </c>
    </row>
    <row r="64" spans="1:19" x14ac:dyDescent="0.3">
      <c r="A64" s="8">
        <v>45682</v>
      </c>
      <c r="B64" t="s">
        <v>23</v>
      </c>
      <c r="C64" t="s">
        <v>24</v>
      </c>
      <c r="D64">
        <v>20</v>
      </c>
      <c r="E64">
        <v>295.06</v>
      </c>
      <c r="F64" t="s">
        <v>34</v>
      </c>
      <c r="G64" t="s">
        <v>36</v>
      </c>
      <c r="H64">
        <v>0.15</v>
      </c>
      <c r="I64" t="s">
        <v>39</v>
      </c>
      <c r="J64">
        <v>5016.0200000000004</v>
      </c>
      <c r="K64" t="s">
        <v>43</v>
      </c>
      <c r="L64" t="s">
        <v>49</v>
      </c>
      <c r="M64">
        <v>1</v>
      </c>
      <c r="N64" t="s">
        <v>111</v>
      </c>
      <c r="O64" t="s">
        <v>1611</v>
      </c>
      <c r="P64">
        <v>13.66</v>
      </c>
      <c r="Q64" s="8">
        <v>45682</v>
      </c>
      <c r="R64" s="8">
        <v>45688</v>
      </c>
      <c r="S64" t="s">
        <v>2926</v>
      </c>
    </row>
    <row r="65" spans="1:19" x14ac:dyDescent="0.3">
      <c r="A65" s="8">
        <v>44950</v>
      </c>
      <c r="B65" t="s">
        <v>23</v>
      </c>
      <c r="C65" t="s">
        <v>26</v>
      </c>
      <c r="D65">
        <v>7</v>
      </c>
      <c r="E65">
        <v>438.41</v>
      </c>
      <c r="F65" t="s">
        <v>33</v>
      </c>
      <c r="G65" t="s">
        <v>36</v>
      </c>
      <c r="H65">
        <v>0.1</v>
      </c>
      <c r="I65" t="s">
        <v>41</v>
      </c>
      <c r="J65">
        <v>2761.9830000000002</v>
      </c>
      <c r="K65" t="s">
        <v>46</v>
      </c>
      <c r="L65" t="s">
        <v>49</v>
      </c>
      <c r="M65">
        <v>1</v>
      </c>
      <c r="N65" t="s">
        <v>1102</v>
      </c>
      <c r="O65" t="s">
        <v>2537</v>
      </c>
      <c r="P65">
        <v>47.77</v>
      </c>
      <c r="Q65" s="8">
        <v>44950</v>
      </c>
      <c r="R65" s="8">
        <v>44954</v>
      </c>
      <c r="S65" t="s">
        <v>2926</v>
      </c>
    </row>
    <row r="66" spans="1:19" x14ac:dyDescent="0.3">
      <c r="A66" s="8">
        <v>45305</v>
      </c>
      <c r="B66" t="s">
        <v>19</v>
      </c>
      <c r="C66" t="s">
        <v>28</v>
      </c>
      <c r="D66">
        <v>19</v>
      </c>
      <c r="E66">
        <v>407.82</v>
      </c>
      <c r="F66" t="s">
        <v>34</v>
      </c>
      <c r="G66" t="s">
        <v>36</v>
      </c>
      <c r="H66">
        <v>0.05</v>
      </c>
      <c r="I66" t="s">
        <v>41</v>
      </c>
      <c r="J66">
        <v>7361.1509999999998</v>
      </c>
      <c r="K66" t="s">
        <v>44</v>
      </c>
      <c r="L66" t="s">
        <v>48</v>
      </c>
      <c r="M66">
        <v>0</v>
      </c>
      <c r="N66" t="s">
        <v>1083</v>
      </c>
      <c r="O66" t="s">
        <v>2521</v>
      </c>
      <c r="P66">
        <v>38.979999999999997</v>
      </c>
      <c r="Q66" s="8">
        <v>45305</v>
      </c>
      <c r="R66" s="8">
        <v>45309</v>
      </c>
      <c r="S66" t="s">
        <v>2922</v>
      </c>
    </row>
    <row r="67" spans="1:19" x14ac:dyDescent="0.3">
      <c r="A67" s="8">
        <v>45320</v>
      </c>
      <c r="B67" t="s">
        <v>23</v>
      </c>
      <c r="C67" t="s">
        <v>30</v>
      </c>
      <c r="D67">
        <v>7</v>
      </c>
      <c r="E67">
        <v>386.88</v>
      </c>
      <c r="F67" t="s">
        <v>31</v>
      </c>
      <c r="G67" t="s">
        <v>35</v>
      </c>
      <c r="H67">
        <v>0.05</v>
      </c>
      <c r="I67" t="s">
        <v>40</v>
      </c>
      <c r="J67">
        <v>2572.752</v>
      </c>
      <c r="K67" t="s">
        <v>47</v>
      </c>
      <c r="L67" t="s">
        <v>49</v>
      </c>
      <c r="M67">
        <v>0</v>
      </c>
      <c r="N67" t="s">
        <v>1076</v>
      </c>
      <c r="O67" t="s">
        <v>2514</v>
      </c>
      <c r="P67">
        <v>38.46</v>
      </c>
      <c r="Q67" s="8">
        <v>45320</v>
      </c>
      <c r="R67" s="8">
        <v>45322</v>
      </c>
      <c r="S67" t="s">
        <v>2926</v>
      </c>
    </row>
    <row r="68" spans="1:19" x14ac:dyDescent="0.3">
      <c r="A68" s="8">
        <v>44936</v>
      </c>
      <c r="B68" t="s">
        <v>23</v>
      </c>
      <c r="C68" t="s">
        <v>27</v>
      </c>
      <c r="D68">
        <v>14</v>
      </c>
      <c r="E68">
        <v>250.98</v>
      </c>
      <c r="F68" t="s">
        <v>33</v>
      </c>
      <c r="G68" t="s">
        <v>36</v>
      </c>
      <c r="H68">
        <v>0</v>
      </c>
      <c r="I68" t="s">
        <v>37</v>
      </c>
      <c r="J68">
        <v>3513.72</v>
      </c>
      <c r="K68" t="s">
        <v>46</v>
      </c>
      <c r="M68">
        <v>0</v>
      </c>
      <c r="N68" t="s">
        <v>1069</v>
      </c>
      <c r="O68" t="s">
        <v>2510</v>
      </c>
      <c r="P68">
        <v>14.94</v>
      </c>
      <c r="Q68" s="8">
        <v>44936</v>
      </c>
      <c r="R68" s="8">
        <v>44944</v>
      </c>
      <c r="S68" t="s">
        <v>2926</v>
      </c>
    </row>
    <row r="69" spans="1:19" x14ac:dyDescent="0.3">
      <c r="A69" s="8">
        <v>45311</v>
      </c>
      <c r="B69" t="s">
        <v>19</v>
      </c>
      <c r="C69" t="s">
        <v>24</v>
      </c>
      <c r="D69">
        <v>19</v>
      </c>
      <c r="E69">
        <v>482.07</v>
      </c>
      <c r="F69" t="s">
        <v>31</v>
      </c>
      <c r="G69" t="s">
        <v>35</v>
      </c>
      <c r="H69">
        <v>0.1</v>
      </c>
      <c r="I69" t="s">
        <v>42</v>
      </c>
      <c r="J69">
        <v>8243.3970000000008</v>
      </c>
      <c r="K69" t="s">
        <v>45</v>
      </c>
      <c r="M69">
        <v>0</v>
      </c>
      <c r="N69" t="s">
        <v>1047</v>
      </c>
      <c r="O69" t="s">
        <v>2490</v>
      </c>
      <c r="P69">
        <v>25.96</v>
      </c>
      <c r="Q69" s="8">
        <v>45311</v>
      </c>
      <c r="R69" s="8">
        <v>45317</v>
      </c>
      <c r="S69" t="s">
        <v>2922</v>
      </c>
    </row>
    <row r="70" spans="1:19" x14ac:dyDescent="0.3">
      <c r="A70" s="8">
        <v>45674</v>
      </c>
      <c r="B70" t="s">
        <v>21</v>
      </c>
      <c r="C70" t="s">
        <v>24</v>
      </c>
      <c r="D70">
        <v>3</v>
      </c>
      <c r="E70">
        <v>448.77</v>
      </c>
      <c r="F70" t="s">
        <v>32</v>
      </c>
      <c r="G70" t="s">
        <v>36</v>
      </c>
      <c r="H70">
        <v>0</v>
      </c>
      <c r="I70" t="s">
        <v>38</v>
      </c>
      <c r="J70">
        <v>1346.31</v>
      </c>
      <c r="K70" t="s">
        <v>43</v>
      </c>
      <c r="L70" t="s">
        <v>48</v>
      </c>
      <c r="M70">
        <v>0</v>
      </c>
      <c r="N70" t="s">
        <v>1044</v>
      </c>
      <c r="O70" t="s">
        <v>2133</v>
      </c>
      <c r="P70">
        <v>28.5</v>
      </c>
      <c r="Q70" s="8">
        <v>45674</v>
      </c>
      <c r="R70" s="8">
        <v>45681</v>
      </c>
      <c r="S70" t="s">
        <v>2924</v>
      </c>
    </row>
    <row r="71" spans="1:19" x14ac:dyDescent="0.3">
      <c r="A71" s="8">
        <v>45684</v>
      </c>
      <c r="B71" t="s">
        <v>22</v>
      </c>
      <c r="C71" t="s">
        <v>30</v>
      </c>
      <c r="D71">
        <v>20</v>
      </c>
      <c r="E71">
        <v>537.28</v>
      </c>
      <c r="F71" t="s">
        <v>33</v>
      </c>
      <c r="G71" t="s">
        <v>35</v>
      </c>
      <c r="H71">
        <v>0</v>
      </c>
      <c r="I71" t="s">
        <v>39</v>
      </c>
      <c r="J71">
        <v>10745.6</v>
      </c>
      <c r="K71" t="s">
        <v>43</v>
      </c>
      <c r="M71">
        <v>1</v>
      </c>
      <c r="N71" t="s">
        <v>1031</v>
      </c>
      <c r="O71" t="s">
        <v>2475</v>
      </c>
      <c r="P71">
        <v>15.6</v>
      </c>
      <c r="Q71" s="8">
        <v>45684</v>
      </c>
      <c r="R71" s="8">
        <v>45690</v>
      </c>
      <c r="S71" t="s">
        <v>2925</v>
      </c>
    </row>
    <row r="72" spans="1:19" x14ac:dyDescent="0.3">
      <c r="A72" s="8">
        <v>45686</v>
      </c>
      <c r="B72" t="s">
        <v>21</v>
      </c>
      <c r="C72" t="s">
        <v>24</v>
      </c>
      <c r="D72">
        <v>11</v>
      </c>
      <c r="E72">
        <v>431.51</v>
      </c>
      <c r="F72" t="s">
        <v>33</v>
      </c>
      <c r="G72" t="s">
        <v>35</v>
      </c>
      <c r="H72">
        <v>0.1</v>
      </c>
      <c r="I72" t="s">
        <v>40</v>
      </c>
      <c r="J72">
        <v>4271.9489999999996</v>
      </c>
      <c r="K72" t="s">
        <v>46</v>
      </c>
      <c r="L72" t="s">
        <v>49</v>
      </c>
      <c r="M72">
        <v>0</v>
      </c>
      <c r="N72" t="s">
        <v>1018</v>
      </c>
      <c r="O72" t="s">
        <v>2464</v>
      </c>
      <c r="P72">
        <v>22.83</v>
      </c>
      <c r="Q72" s="8">
        <v>45686</v>
      </c>
      <c r="R72" s="8">
        <v>45693</v>
      </c>
      <c r="S72" t="s">
        <v>2924</v>
      </c>
    </row>
    <row r="73" spans="1:19" x14ac:dyDescent="0.3">
      <c r="A73" s="8">
        <v>45316</v>
      </c>
      <c r="B73" t="s">
        <v>21</v>
      </c>
      <c r="C73" t="s">
        <v>30</v>
      </c>
      <c r="D73">
        <v>2</v>
      </c>
      <c r="E73">
        <v>27.43</v>
      </c>
      <c r="F73" t="s">
        <v>31</v>
      </c>
      <c r="G73" t="s">
        <v>36</v>
      </c>
      <c r="H73">
        <v>0.15</v>
      </c>
      <c r="I73" t="s">
        <v>39</v>
      </c>
      <c r="J73">
        <v>46.631</v>
      </c>
      <c r="K73" t="s">
        <v>43</v>
      </c>
      <c r="L73" t="s">
        <v>50</v>
      </c>
      <c r="M73">
        <v>0</v>
      </c>
      <c r="N73" t="s">
        <v>1007</v>
      </c>
      <c r="O73" t="s">
        <v>2455</v>
      </c>
      <c r="P73">
        <v>6.15</v>
      </c>
      <c r="Q73" s="8">
        <v>45316</v>
      </c>
      <c r="R73" s="8">
        <v>45323</v>
      </c>
      <c r="S73" t="s">
        <v>2924</v>
      </c>
    </row>
    <row r="74" spans="1:19" x14ac:dyDescent="0.3">
      <c r="A74" s="8">
        <v>44955</v>
      </c>
      <c r="B74" t="s">
        <v>22</v>
      </c>
      <c r="C74" t="s">
        <v>24</v>
      </c>
      <c r="D74">
        <v>17</v>
      </c>
      <c r="E74">
        <v>535.88</v>
      </c>
      <c r="F74" t="s">
        <v>32</v>
      </c>
      <c r="G74" t="s">
        <v>35</v>
      </c>
      <c r="H74">
        <v>0.05</v>
      </c>
      <c r="I74" t="s">
        <v>42</v>
      </c>
      <c r="J74">
        <v>8654.4619999999995</v>
      </c>
      <c r="K74" t="s">
        <v>44</v>
      </c>
      <c r="M74">
        <v>0</v>
      </c>
      <c r="N74" t="s">
        <v>996</v>
      </c>
      <c r="O74" t="s">
        <v>2446</v>
      </c>
      <c r="P74">
        <v>26.12</v>
      </c>
      <c r="Q74" s="8">
        <v>44955</v>
      </c>
      <c r="R74" s="8">
        <v>44965</v>
      </c>
      <c r="S74" t="s">
        <v>2925</v>
      </c>
    </row>
    <row r="75" spans="1:19" x14ac:dyDescent="0.3">
      <c r="A75" s="8">
        <v>45661</v>
      </c>
      <c r="B75" t="s">
        <v>20</v>
      </c>
      <c r="C75" t="s">
        <v>27</v>
      </c>
      <c r="D75">
        <v>2</v>
      </c>
      <c r="E75">
        <v>194.97</v>
      </c>
      <c r="F75" t="s">
        <v>32</v>
      </c>
      <c r="G75" t="s">
        <v>36</v>
      </c>
      <c r="H75">
        <v>0</v>
      </c>
      <c r="I75" t="s">
        <v>41</v>
      </c>
      <c r="J75">
        <v>389.94</v>
      </c>
      <c r="K75" t="s">
        <v>45</v>
      </c>
      <c r="L75" t="s">
        <v>49</v>
      </c>
      <c r="M75">
        <v>0</v>
      </c>
      <c r="N75" t="s">
        <v>994</v>
      </c>
      <c r="O75" t="s">
        <v>1932</v>
      </c>
      <c r="P75">
        <v>9.89</v>
      </c>
      <c r="Q75" s="8">
        <v>45661</v>
      </c>
      <c r="R75" s="8">
        <v>45671</v>
      </c>
      <c r="S75" t="s">
        <v>2923</v>
      </c>
    </row>
    <row r="76" spans="1:19" x14ac:dyDescent="0.3">
      <c r="A76" s="8">
        <v>44946</v>
      </c>
      <c r="B76" t="s">
        <v>19</v>
      </c>
      <c r="C76" t="s">
        <v>27</v>
      </c>
      <c r="D76">
        <v>15</v>
      </c>
      <c r="E76">
        <v>462.85</v>
      </c>
      <c r="F76" t="s">
        <v>32</v>
      </c>
      <c r="G76" t="s">
        <v>36</v>
      </c>
      <c r="H76">
        <v>0.15</v>
      </c>
      <c r="I76" t="s">
        <v>41</v>
      </c>
      <c r="J76">
        <v>5901.3374999999996</v>
      </c>
      <c r="K76" t="s">
        <v>45</v>
      </c>
      <c r="M76">
        <v>0</v>
      </c>
      <c r="N76" t="s">
        <v>985</v>
      </c>
      <c r="O76" t="s">
        <v>2436</v>
      </c>
      <c r="P76">
        <v>46.12</v>
      </c>
      <c r="Q76" s="8">
        <v>44946</v>
      </c>
      <c r="R76" s="8">
        <v>44952</v>
      </c>
      <c r="S76" t="s">
        <v>2922</v>
      </c>
    </row>
    <row r="77" spans="1:19" x14ac:dyDescent="0.3">
      <c r="A77" s="8">
        <v>45672</v>
      </c>
      <c r="B77" t="s">
        <v>21</v>
      </c>
      <c r="C77" t="s">
        <v>26</v>
      </c>
      <c r="D77">
        <v>18</v>
      </c>
      <c r="E77">
        <v>375.83</v>
      </c>
      <c r="F77" t="s">
        <v>33</v>
      </c>
      <c r="G77" t="s">
        <v>36</v>
      </c>
      <c r="H77">
        <v>0.1</v>
      </c>
      <c r="I77" t="s">
        <v>40</v>
      </c>
      <c r="J77">
        <v>6088.4459999999999</v>
      </c>
      <c r="K77" t="s">
        <v>44</v>
      </c>
      <c r="M77">
        <v>0</v>
      </c>
      <c r="N77" t="s">
        <v>963</v>
      </c>
      <c r="O77" t="s">
        <v>2417</v>
      </c>
      <c r="P77">
        <v>15.13</v>
      </c>
      <c r="Q77" s="8">
        <v>45672</v>
      </c>
      <c r="R77" s="8">
        <v>45680</v>
      </c>
      <c r="S77" t="s">
        <v>2924</v>
      </c>
    </row>
    <row r="78" spans="1:19" x14ac:dyDescent="0.3">
      <c r="A78" s="8">
        <v>45305</v>
      </c>
      <c r="B78" t="s">
        <v>22</v>
      </c>
      <c r="C78" t="s">
        <v>29</v>
      </c>
      <c r="D78">
        <v>19</v>
      </c>
      <c r="E78">
        <v>29.94</v>
      </c>
      <c r="F78" t="s">
        <v>34</v>
      </c>
      <c r="G78" t="s">
        <v>36</v>
      </c>
      <c r="H78">
        <v>0.15</v>
      </c>
      <c r="I78" t="s">
        <v>41</v>
      </c>
      <c r="J78">
        <v>483.53100000000001</v>
      </c>
      <c r="K78" t="s">
        <v>46</v>
      </c>
      <c r="L78" t="s">
        <v>48</v>
      </c>
      <c r="M78">
        <v>0</v>
      </c>
      <c r="N78" t="s">
        <v>125</v>
      </c>
      <c r="O78" t="s">
        <v>1625</v>
      </c>
      <c r="P78">
        <v>33.590000000000003</v>
      </c>
      <c r="Q78" s="8">
        <v>45305</v>
      </c>
      <c r="R78" s="8">
        <v>45311</v>
      </c>
      <c r="S78" t="s">
        <v>2925</v>
      </c>
    </row>
    <row r="79" spans="1:19" x14ac:dyDescent="0.3">
      <c r="A79" s="8">
        <v>44933</v>
      </c>
      <c r="B79" t="s">
        <v>22</v>
      </c>
      <c r="C79" t="s">
        <v>28</v>
      </c>
      <c r="D79">
        <v>1</v>
      </c>
      <c r="E79">
        <v>498.19</v>
      </c>
      <c r="F79" t="s">
        <v>32</v>
      </c>
      <c r="G79" t="s">
        <v>35</v>
      </c>
      <c r="H79">
        <v>0.1</v>
      </c>
      <c r="I79" t="s">
        <v>42</v>
      </c>
      <c r="J79">
        <v>448.37099999999998</v>
      </c>
      <c r="K79" t="s">
        <v>44</v>
      </c>
      <c r="L79" t="s">
        <v>49</v>
      </c>
      <c r="M79">
        <v>0</v>
      </c>
      <c r="N79" t="s">
        <v>962</v>
      </c>
      <c r="O79" t="s">
        <v>2416</v>
      </c>
      <c r="P79">
        <v>25.55</v>
      </c>
      <c r="Q79" s="8">
        <v>44933</v>
      </c>
      <c r="R79" s="8">
        <v>44937</v>
      </c>
      <c r="S79" t="s">
        <v>2925</v>
      </c>
    </row>
    <row r="80" spans="1:19" x14ac:dyDescent="0.3">
      <c r="A80" s="8">
        <v>44952</v>
      </c>
      <c r="B80" t="s">
        <v>22</v>
      </c>
      <c r="C80" t="s">
        <v>26</v>
      </c>
      <c r="D80">
        <v>7</v>
      </c>
      <c r="E80">
        <v>228.32</v>
      </c>
      <c r="F80" t="s">
        <v>33</v>
      </c>
      <c r="G80" t="s">
        <v>35</v>
      </c>
      <c r="H80">
        <v>0.15</v>
      </c>
      <c r="I80" t="s">
        <v>37</v>
      </c>
      <c r="J80">
        <v>1358.5039999999999</v>
      </c>
      <c r="K80" t="s">
        <v>46</v>
      </c>
      <c r="L80" t="s">
        <v>48</v>
      </c>
      <c r="M80">
        <v>0</v>
      </c>
      <c r="N80" t="s">
        <v>961</v>
      </c>
      <c r="O80" t="s">
        <v>2415</v>
      </c>
      <c r="P80">
        <v>22.16</v>
      </c>
      <c r="Q80" s="8">
        <v>44952</v>
      </c>
      <c r="R80" s="8">
        <v>44956</v>
      </c>
      <c r="S80" t="s">
        <v>2925</v>
      </c>
    </row>
    <row r="81" spans="1:19" x14ac:dyDescent="0.3">
      <c r="A81" s="8">
        <v>45670</v>
      </c>
      <c r="B81" t="s">
        <v>20</v>
      </c>
      <c r="C81" t="s">
        <v>25</v>
      </c>
      <c r="D81">
        <v>15</v>
      </c>
      <c r="E81">
        <v>18.04</v>
      </c>
      <c r="F81" t="s">
        <v>33</v>
      </c>
      <c r="G81" t="s">
        <v>35</v>
      </c>
      <c r="H81">
        <v>0</v>
      </c>
      <c r="I81" t="s">
        <v>37</v>
      </c>
      <c r="J81">
        <v>270.60000000000002</v>
      </c>
      <c r="K81" t="s">
        <v>45</v>
      </c>
      <c r="L81" t="s">
        <v>49</v>
      </c>
      <c r="M81">
        <v>1</v>
      </c>
      <c r="N81" t="s">
        <v>958</v>
      </c>
      <c r="O81" t="s">
        <v>2412</v>
      </c>
      <c r="P81">
        <v>14.35</v>
      </c>
      <c r="Q81" s="8">
        <v>45670</v>
      </c>
      <c r="R81" s="8">
        <v>45674</v>
      </c>
      <c r="S81" t="s">
        <v>2923</v>
      </c>
    </row>
    <row r="82" spans="1:19" x14ac:dyDescent="0.3">
      <c r="A82" s="8">
        <v>45299</v>
      </c>
      <c r="B82" t="s">
        <v>20</v>
      </c>
      <c r="C82" t="s">
        <v>28</v>
      </c>
      <c r="D82">
        <v>13</v>
      </c>
      <c r="E82">
        <v>285.27999999999997</v>
      </c>
      <c r="F82" t="s">
        <v>34</v>
      </c>
      <c r="G82" t="s">
        <v>36</v>
      </c>
      <c r="H82">
        <v>0</v>
      </c>
      <c r="I82" t="s">
        <v>37</v>
      </c>
      <c r="J82">
        <v>3708.639999999999</v>
      </c>
      <c r="K82" t="s">
        <v>44</v>
      </c>
      <c r="L82" t="s">
        <v>49</v>
      </c>
      <c r="M82">
        <v>0</v>
      </c>
      <c r="N82" t="s">
        <v>957</v>
      </c>
      <c r="O82" t="s">
        <v>2411</v>
      </c>
      <c r="P82">
        <v>31.2</v>
      </c>
      <c r="Q82" s="8">
        <v>45299</v>
      </c>
      <c r="R82" s="8">
        <v>45306</v>
      </c>
      <c r="S82" t="s">
        <v>2923</v>
      </c>
    </row>
    <row r="83" spans="1:19" x14ac:dyDescent="0.3">
      <c r="A83" s="8">
        <v>45293</v>
      </c>
      <c r="B83" t="s">
        <v>22</v>
      </c>
      <c r="C83" t="s">
        <v>30</v>
      </c>
      <c r="D83">
        <v>19</v>
      </c>
      <c r="E83">
        <v>351.93</v>
      </c>
      <c r="F83" t="s">
        <v>32</v>
      </c>
      <c r="G83" t="s">
        <v>35</v>
      </c>
      <c r="H83">
        <v>0</v>
      </c>
      <c r="I83" t="s">
        <v>38</v>
      </c>
      <c r="J83">
        <v>6686.67</v>
      </c>
      <c r="K83" t="s">
        <v>45</v>
      </c>
      <c r="M83">
        <v>0</v>
      </c>
      <c r="N83" t="s">
        <v>130</v>
      </c>
      <c r="O83" t="s">
        <v>1630</v>
      </c>
      <c r="P83">
        <v>39.979999999999997</v>
      </c>
      <c r="Q83" s="8">
        <v>45293</v>
      </c>
      <c r="R83" s="8">
        <v>45296</v>
      </c>
      <c r="S83" t="s">
        <v>2925</v>
      </c>
    </row>
    <row r="84" spans="1:19" x14ac:dyDescent="0.3">
      <c r="A84" s="8">
        <v>44943</v>
      </c>
      <c r="B84" t="s">
        <v>21</v>
      </c>
      <c r="C84" t="s">
        <v>30</v>
      </c>
      <c r="D84">
        <v>15</v>
      </c>
      <c r="E84">
        <v>19.170000000000002</v>
      </c>
      <c r="F84" t="s">
        <v>32</v>
      </c>
      <c r="G84" t="s">
        <v>35</v>
      </c>
      <c r="H84">
        <v>0</v>
      </c>
      <c r="I84" t="s">
        <v>40</v>
      </c>
      <c r="J84">
        <v>287.55</v>
      </c>
      <c r="K84" t="s">
        <v>44</v>
      </c>
      <c r="L84" t="s">
        <v>48</v>
      </c>
      <c r="M84">
        <v>1</v>
      </c>
      <c r="N84" t="s">
        <v>947</v>
      </c>
      <c r="O84" t="s">
        <v>2402</v>
      </c>
      <c r="P84">
        <v>48.93</v>
      </c>
      <c r="Q84" s="8">
        <v>44943</v>
      </c>
      <c r="R84" s="8">
        <v>44953</v>
      </c>
      <c r="S84" t="s">
        <v>2924</v>
      </c>
    </row>
    <row r="85" spans="1:19" x14ac:dyDescent="0.3">
      <c r="A85" s="8">
        <v>44936</v>
      </c>
      <c r="B85" t="s">
        <v>22</v>
      </c>
      <c r="C85" t="s">
        <v>28</v>
      </c>
      <c r="D85">
        <v>20</v>
      </c>
      <c r="E85">
        <v>274.37</v>
      </c>
      <c r="F85" t="s">
        <v>31</v>
      </c>
      <c r="G85" t="s">
        <v>36</v>
      </c>
      <c r="H85">
        <v>0.1</v>
      </c>
      <c r="I85" t="s">
        <v>37</v>
      </c>
      <c r="J85">
        <v>4938.66</v>
      </c>
      <c r="K85" t="s">
        <v>44</v>
      </c>
      <c r="L85" t="s">
        <v>50</v>
      </c>
      <c r="M85">
        <v>0</v>
      </c>
      <c r="N85" t="s">
        <v>933</v>
      </c>
      <c r="O85" t="s">
        <v>1824</v>
      </c>
      <c r="P85">
        <v>12.28</v>
      </c>
      <c r="Q85" s="8">
        <v>44936</v>
      </c>
      <c r="R85" s="8">
        <v>44940</v>
      </c>
      <c r="S85" t="s">
        <v>2925</v>
      </c>
    </row>
    <row r="86" spans="1:19" x14ac:dyDescent="0.3">
      <c r="A86" s="8">
        <v>45304</v>
      </c>
      <c r="B86" t="s">
        <v>22</v>
      </c>
      <c r="C86" t="s">
        <v>29</v>
      </c>
      <c r="D86">
        <v>13</v>
      </c>
      <c r="E86">
        <v>343.45</v>
      </c>
      <c r="F86" t="s">
        <v>34</v>
      </c>
      <c r="G86" t="s">
        <v>35</v>
      </c>
      <c r="H86">
        <v>0.05</v>
      </c>
      <c r="I86" t="s">
        <v>38</v>
      </c>
      <c r="J86">
        <v>4241.6074999999992</v>
      </c>
      <c r="K86" t="s">
        <v>44</v>
      </c>
      <c r="L86" t="s">
        <v>49</v>
      </c>
      <c r="M86">
        <v>0</v>
      </c>
      <c r="N86" t="s">
        <v>927</v>
      </c>
      <c r="O86" t="s">
        <v>2383</v>
      </c>
      <c r="P86">
        <v>27.26</v>
      </c>
      <c r="Q86" s="8">
        <v>45304</v>
      </c>
      <c r="R86" s="8">
        <v>45308</v>
      </c>
      <c r="S86" t="s">
        <v>2925</v>
      </c>
    </row>
    <row r="87" spans="1:19" x14ac:dyDescent="0.3">
      <c r="A87" s="8">
        <v>44931</v>
      </c>
      <c r="B87" t="s">
        <v>19</v>
      </c>
      <c r="C87" t="s">
        <v>26</v>
      </c>
      <c r="D87">
        <v>12</v>
      </c>
      <c r="E87">
        <v>582.52</v>
      </c>
      <c r="F87" t="s">
        <v>32</v>
      </c>
      <c r="G87" t="s">
        <v>35</v>
      </c>
      <c r="H87">
        <v>0</v>
      </c>
      <c r="I87" t="s">
        <v>42</v>
      </c>
      <c r="J87">
        <v>6990.24</v>
      </c>
      <c r="K87" t="s">
        <v>45</v>
      </c>
      <c r="L87" t="s">
        <v>48</v>
      </c>
      <c r="M87">
        <v>0</v>
      </c>
      <c r="N87" t="s">
        <v>134</v>
      </c>
      <c r="O87" t="s">
        <v>1634</v>
      </c>
      <c r="P87">
        <v>41.16</v>
      </c>
      <c r="Q87" s="8">
        <v>44931</v>
      </c>
      <c r="R87" s="8">
        <v>44937</v>
      </c>
      <c r="S87" t="s">
        <v>2922</v>
      </c>
    </row>
    <row r="88" spans="1:19" x14ac:dyDescent="0.3">
      <c r="A88" s="8">
        <v>44951</v>
      </c>
      <c r="B88" t="s">
        <v>22</v>
      </c>
      <c r="C88" t="s">
        <v>24</v>
      </c>
      <c r="D88">
        <v>2</v>
      </c>
      <c r="E88">
        <v>196.7</v>
      </c>
      <c r="F88" t="s">
        <v>32</v>
      </c>
      <c r="G88" t="s">
        <v>36</v>
      </c>
      <c r="H88">
        <v>0</v>
      </c>
      <c r="I88" t="s">
        <v>39</v>
      </c>
      <c r="J88">
        <v>393.4</v>
      </c>
      <c r="K88" t="s">
        <v>43</v>
      </c>
      <c r="L88" t="s">
        <v>48</v>
      </c>
      <c r="M88">
        <v>0</v>
      </c>
      <c r="N88" t="s">
        <v>920</v>
      </c>
      <c r="O88" t="s">
        <v>2377</v>
      </c>
      <c r="P88">
        <v>35.840000000000003</v>
      </c>
      <c r="Q88" s="8">
        <v>44951</v>
      </c>
      <c r="R88" s="8">
        <v>44955</v>
      </c>
      <c r="S88" t="s">
        <v>2925</v>
      </c>
    </row>
    <row r="89" spans="1:19" x14ac:dyDescent="0.3">
      <c r="A89" s="8">
        <v>45665</v>
      </c>
      <c r="B89" t="s">
        <v>22</v>
      </c>
      <c r="C89" t="s">
        <v>27</v>
      </c>
      <c r="D89">
        <v>19</v>
      </c>
      <c r="E89">
        <v>465.27</v>
      </c>
      <c r="F89" t="s">
        <v>33</v>
      </c>
      <c r="G89" t="s">
        <v>36</v>
      </c>
      <c r="H89">
        <v>0.05</v>
      </c>
      <c r="I89" t="s">
        <v>41</v>
      </c>
      <c r="J89">
        <v>8398.1234999999997</v>
      </c>
      <c r="K89" t="s">
        <v>45</v>
      </c>
      <c r="M89">
        <v>0</v>
      </c>
      <c r="N89" t="s">
        <v>901</v>
      </c>
      <c r="O89" t="s">
        <v>2359</v>
      </c>
      <c r="P89">
        <v>44.95</v>
      </c>
      <c r="Q89" s="8">
        <v>45665</v>
      </c>
      <c r="R89" s="8">
        <v>45667</v>
      </c>
      <c r="S89" t="s">
        <v>2925</v>
      </c>
    </row>
    <row r="90" spans="1:19" x14ac:dyDescent="0.3">
      <c r="A90" s="8">
        <v>45297</v>
      </c>
      <c r="B90" t="s">
        <v>21</v>
      </c>
      <c r="C90" t="s">
        <v>25</v>
      </c>
      <c r="D90">
        <v>13</v>
      </c>
      <c r="E90">
        <v>256.35000000000002</v>
      </c>
      <c r="F90" t="s">
        <v>34</v>
      </c>
      <c r="G90" t="s">
        <v>35</v>
      </c>
      <c r="H90">
        <v>0.15</v>
      </c>
      <c r="I90" t="s">
        <v>38</v>
      </c>
      <c r="J90">
        <v>2832.6675</v>
      </c>
      <c r="K90" t="s">
        <v>47</v>
      </c>
      <c r="L90" t="s">
        <v>49</v>
      </c>
      <c r="M90">
        <v>0</v>
      </c>
      <c r="N90" t="s">
        <v>896</v>
      </c>
      <c r="O90" t="s">
        <v>2354</v>
      </c>
      <c r="P90">
        <v>26.04</v>
      </c>
      <c r="Q90" s="8">
        <v>45297</v>
      </c>
      <c r="R90" s="8">
        <v>45299</v>
      </c>
      <c r="S90" t="s">
        <v>2924</v>
      </c>
    </row>
    <row r="91" spans="1:19" x14ac:dyDescent="0.3">
      <c r="A91" s="8">
        <v>45677</v>
      </c>
      <c r="B91" t="s">
        <v>21</v>
      </c>
      <c r="C91" t="s">
        <v>25</v>
      </c>
      <c r="D91">
        <v>7</v>
      </c>
      <c r="E91">
        <v>61.83</v>
      </c>
      <c r="F91" t="s">
        <v>31</v>
      </c>
      <c r="G91" t="s">
        <v>36</v>
      </c>
      <c r="H91">
        <v>0</v>
      </c>
      <c r="I91" t="s">
        <v>41</v>
      </c>
      <c r="J91">
        <v>432.81</v>
      </c>
      <c r="K91" t="s">
        <v>43</v>
      </c>
      <c r="L91" t="s">
        <v>50</v>
      </c>
      <c r="M91">
        <v>0</v>
      </c>
      <c r="N91" t="s">
        <v>893</v>
      </c>
      <c r="O91" t="s">
        <v>2351</v>
      </c>
      <c r="P91">
        <v>25.49</v>
      </c>
      <c r="Q91" s="8">
        <v>45677</v>
      </c>
      <c r="R91" s="8">
        <v>45679</v>
      </c>
      <c r="S91" t="s">
        <v>2924</v>
      </c>
    </row>
    <row r="92" spans="1:19" x14ac:dyDescent="0.3">
      <c r="A92" s="8">
        <v>45301</v>
      </c>
      <c r="B92" t="s">
        <v>20</v>
      </c>
      <c r="C92" t="s">
        <v>30</v>
      </c>
      <c r="D92">
        <v>15</v>
      </c>
      <c r="E92">
        <v>306.91000000000003</v>
      </c>
      <c r="F92" t="s">
        <v>32</v>
      </c>
      <c r="G92" t="s">
        <v>36</v>
      </c>
      <c r="H92">
        <v>0</v>
      </c>
      <c r="I92" t="s">
        <v>40</v>
      </c>
      <c r="J92">
        <v>4603.6500000000005</v>
      </c>
      <c r="K92" t="s">
        <v>47</v>
      </c>
      <c r="L92" t="s">
        <v>48</v>
      </c>
      <c r="M92">
        <v>1</v>
      </c>
      <c r="N92" t="s">
        <v>891</v>
      </c>
      <c r="O92" t="s">
        <v>2349</v>
      </c>
      <c r="P92">
        <v>19.38</v>
      </c>
      <c r="Q92" s="8">
        <v>45301</v>
      </c>
      <c r="R92" s="8">
        <v>45305</v>
      </c>
      <c r="S92" t="s">
        <v>2923</v>
      </c>
    </row>
    <row r="93" spans="1:19" x14ac:dyDescent="0.3">
      <c r="A93" s="8">
        <v>45669</v>
      </c>
      <c r="B93" t="s">
        <v>22</v>
      </c>
      <c r="C93" t="s">
        <v>24</v>
      </c>
      <c r="D93">
        <v>15</v>
      </c>
      <c r="E93">
        <v>411.38</v>
      </c>
      <c r="F93" t="s">
        <v>32</v>
      </c>
      <c r="G93" t="s">
        <v>35</v>
      </c>
      <c r="H93">
        <v>0.05</v>
      </c>
      <c r="I93" t="s">
        <v>42</v>
      </c>
      <c r="J93">
        <v>5862.165</v>
      </c>
      <c r="K93" t="s">
        <v>43</v>
      </c>
      <c r="L93" t="s">
        <v>49</v>
      </c>
      <c r="M93">
        <v>0</v>
      </c>
      <c r="N93" t="s">
        <v>140</v>
      </c>
      <c r="O93" t="s">
        <v>1640</v>
      </c>
      <c r="P93">
        <v>48.51</v>
      </c>
      <c r="Q93" s="8">
        <v>45669</v>
      </c>
      <c r="R93" s="8">
        <v>45678</v>
      </c>
      <c r="S93" t="s">
        <v>2925</v>
      </c>
    </row>
    <row r="94" spans="1:19" x14ac:dyDescent="0.3">
      <c r="A94" s="8">
        <v>45669</v>
      </c>
      <c r="B94" t="s">
        <v>22</v>
      </c>
      <c r="C94" t="s">
        <v>29</v>
      </c>
      <c r="D94">
        <v>3</v>
      </c>
      <c r="E94">
        <v>193.98</v>
      </c>
      <c r="F94" t="s">
        <v>32</v>
      </c>
      <c r="G94" t="s">
        <v>36</v>
      </c>
      <c r="H94">
        <v>0</v>
      </c>
      <c r="I94" t="s">
        <v>42</v>
      </c>
      <c r="J94">
        <v>581.93999999999994</v>
      </c>
      <c r="K94" t="s">
        <v>45</v>
      </c>
      <c r="L94" t="s">
        <v>50</v>
      </c>
      <c r="M94">
        <v>0</v>
      </c>
      <c r="N94" t="s">
        <v>876</v>
      </c>
      <c r="O94" t="s">
        <v>2336</v>
      </c>
      <c r="P94">
        <v>27.53</v>
      </c>
      <c r="Q94" s="8">
        <v>45669</v>
      </c>
      <c r="R94" s="8">
        <v>45673</v>
      </c>
      <c r="S94" t="s">
        <v>2925</v>
      </c>
    </row>
    <row r="95" spans="1:19" x14ac:dyDescent="0.3">
      <c r="A95" s="8">
        <v>45660</v>
      </c>
      <c r="B95" t="s">
        <v>22</v>
      </c>
      <c r="C95" t="s">
        <v>26</v>
      </c>
      <c r="D95">
        <v>10</v>
      </c>
      <c r="E95">
        <v>451.14</v>
      </c>
      <c r="F95" t="s">
        <v>32</v>
      </c>
      <c r="G95" t="s">
        <v>36</v>
      </c>
      <c r="H95">
        <v>0</v>
      </c>
      <c r="I95" t="s">
        <v>42</v>
      </c>
      <c r="J95">
        <v>4511.3999999999996</v>
      </c>
      <c r="K95" t="s">
        <v>44</v>
      </c>
      <c r="L95" t="s">
        <v>48</v>
      </c>
      <c r="M95">
        <v>0</v>
      </c>
      <c r="N95" t="s">
        <v>857</v>
      </c>
      <c r="O95" t="s">
        <v>2320</v>
      </c>
      <c r="P95">
        <v>29.96</v>
      </c>
      <c r="Q95" s="8">
        <v>45660</v>
      </c>
      <c r="R95" s="8">
        <v>45670</v>
      </c>
      <c r="S95" t="s">
        <v>2925</v>
      </c>
    </row>
    <row r="96" spans="1:19" x14ac:dyDescent="0.3">
      <c r="A96" s="8">
        <v>45664</v>
      </c>
      <c r="B96" t="s">
        <v>21</v>
      </c>
      <c r="C96" t="s">
        <v>27</v>
      </c>
      <c r="D96">
        <v>15</v>
      </c>
      <c r="E96">
        <v>240.05</v>
      </c>
      <c r="F96" t="s">
        <v>33</v>
      </c>
      <c r="G96" t="s">
        <v>36</v>
      </c>
      <c r="H96">
        <v>0.05</v>
      </c>
      <c r="I96" t="s">
        <v>40</v>
      </c>
      <c r="J96">
        <v>3420.7125000000001</v>
      </c>
      <c r="K96" t="s">
        <v>45</v>
      </c>
      <c r="L96" t="s">
        <v>48</v>
      </c>
      <c r="M96">
        <v>0</v>
      </c>
      <c r="N96" t="s">
        <v>851</v>
      </c>
      <c r="O96" t="s">
        <v>2221</v>
      </c>
      <c r="P96">
        <v>14.31</v>
      </c>
      <c r="Q96" s="8">
        <v>45664</v>
      </c>
      <c r="R96" s="8">
        <v>45671</v>
      </c>
      <c r="S96" t="s">
        <v>2924</v>
      </c>
    </row>
    <row r="97" spans="1:19" x14ac:dyDescent="0.3">
      <c r="A97" s="8">
        <v>44948</v>
      </c>
      <c r="B97" t="s">
        <v>22</v>
      </c>
      <c r="C97" t="s">
        <v>28</v>
      </c>
      <c r="D97">
        <v>2</v>
      </c>
      <c r="E97">
        <v>413.36</v>
      </c>
      <c r="F97" t="s">
        <v>34</v>
      </c>
      <c r="G97" t="s">
        <v>36</v>
      </c>
      <c r="H97">
        <v>0.1</v>
      </c>
      <c r="I97" t="s">
        <v>38</v>
      </c>
      <c r="J97">
        <v>744.048</v>
      </c>
      <c r="K97" t="s">
        <v>43</v>
      </c>
      <c r="L97" t="s">
        <v>49</v>
      </c>
      <c r="M97">
        <v>1</v>
      </c>
      <c r="N97" t="s">
        <v>831</v>
      </c>
      <c r="O97" t="s">
        <v>1989</v>
      </c>
      <c r="P97">
        <v>41.69</v>
      </c>
      <c r="Q97" s="8">
        <v>44948</v>
      </c>
      <c r="R97" s="8">
        <v>44950</v>
      </c>
      <c r="S97" t="s">
        <v>2925</v>
      </c>
    </row>
    <row r="98" spans="1:19" x14ac:dyDescent="0.3">
      <c r="A98" s="8">
        <v>45313</v>
      </c>
      <c r="B98" t="s">
        <v>19</v>
      </c>
      <c r="C98" t="s">
        <v>30</v>
      </c>
      <c r="D98">
        <v>11</v>
      </c>
      <c r="E98">
        <v>277.95</v>
      </c>
      <c r="F98" t="s">
        <v>32</v>
      </c>
      <c r="G98" t="s">
        <v>36</v>
      </c>
      <c r="H98">
        <v>0.05</v>
      </c>
      <c r="I98" t="s">
        <v>39</v>
      </c>
      <c r="J98">
        <v>2904.5774999999999</v>
      </c>
      <c r="K98" t="s">
        <v>44</v>
      </c>
      <c r="L98" t="s">
        <v>50</v>
      </c>
      <c r="M98">
        <v>0</v>
      </c>
      <c r="N98" t="s">
        <v>815</v>
      </c>
      <c r="O98" t="s">
        <v>2283</v>
      </c>
      <c r="P98">
        <v>44.04</v>
      </c>
      <c r="Q98" s="8">
        <v>45313</v>
      </c>
      <c r="R98" s="8">
        <v>45320</v>
      </c>
      <c r="S98" t="s">
        <v>2922</v>
      </c>
    </row>
    <row r="99" spans="1:19" x14ac:dyDescent="0.3">
      <c r="A99" s="8">
        <v>44957</v>
      </c>
      <c r="B99" t="s">
        <v>22</v>
      </c>
      <c r="C99" t="s">
        <v>29</v>
      </c>
      <c r="D99">
        <v>13</v>
      </c>
      <c r="E99">
        <v>132.97</v>
      </c>
      <c r="F99" t="s">
        <v>31</v>
      </c>
      <c r="G99" t="s">
        <v>35</v>
      </c>
      <c r="H99">
        <v>0.05</v>
      </c>
      <c r="I99" t="s">
        <v>39</v>
      </c>
      <c r="J99">
        <v>1642.1795</v>
      </c>
      <c r="K99" t="s">
        <v>46</v>
      </c>
      <c r="L99" t="s">
        <v>50</v>
      </c>
      <c r="M99">
        <v>0</v>
      </c>
      <c r="N99" t="s">
        <v>798</v>
      </c>
      <c r="O99" t="s">
        <v>2268</v>
      </c>
      <c r="P99">
        <v>42.87</v>
      </c>
      <c r="Q99" s="8">
        <v>44957</v>
      </c>
      <c r="R99" s="8">
        <v>44962</v>
      </c>
      <c r="S99" t="s">
        <v>2925</v>
      </c>
    </row>
    <row r="100" spans="1:19" x14ac:dyDescent="0.3">
      <c r="A100" s="8">
        <v>45688</v>
      </c>
      <c r="B100" t="s">
        <v>22</v>
      </c>
      <c r="C100" t="s">
        <v>28</v>
      </c>
      <c r="D100">
        <v>1</v>
      </c>
      <c r="E100">
        <v>323.83</v>
      </c>
      <c r="F100" t="s">
        <v>31</v>
      </c>
      <c r="G100" t="s">
        <v>35</v>
      </c>
      <c r="H100">
        <v>0.05</v>
      </c>
      <c r="I100" t="s">
        <v>37</v>
      </c>
      <c r="J100">
        <v>307.63850000000002</v>
      </c>
      <c r="K100" t="s">
        <v>45</v>
      </c>
      <c r="L100" t="s">
        <v>50</v>
      </c>
      <c r="M100">
        <v>0</v>
      </c>
      <c r="N100" t="s">
        <v>147</v>
      </c>
      <c r="O100" t="s">
        <v>1647</v>
      </c>
      <c r="P100">
        <v>27.48</v>
      </c>
      <c r="Q100" s="8">
        <v>45688</v>
      </c>
      <c r="R100" s="8">
        <v>45696</v>
      </c>
      <c r="S100" t="s">
        <v>2925</v>
      </c>
    </row>
    <row r="101" spans="1:19" x14ac:dyDescent="0.3">
      <c r="A101" s="8">
        <v>45683</v>
      </c>
      <c r="B101" t="s">
        <v>21</v>
      </c>
      <c r="C101" t="s">
        <v>24</v>
      </c>
      <c r="D101">
        <v>3</v>
      </c>
      <c r="E101">
        <v>58.51</v>
      </c>
      <c r="F101" t="s">
        <v>32</v>
      </c>
      <c r="G101" t="s">
        <v>36</v>
      </c>
      <c r="H101">
        <v>0.05</v>
      </c>
      <c r="I101" t="s">
        <v>40</v>
      </c>
      <c r="J101">
        <v>166.7535</v>
      </c>
      <c r="K101" t="s">
        <v>47</v>
      </c>
      <c r="L101" t="s">
        <v>50</v>
      </c>
      <c r="M101">
        <v>0</v>
      </c>
      <c r="N101" t="s">
        <v>793</v>
      </c>
      <c r="O101" t="s">
        <v>2263</v>
      </c>
      <c r="P101">
        <v>23.57</v>
      </c>
      <c r="Q101" s="8">
        <v>45683</v>
      </c>
      <c r="R101" s="8">
        <v>45687</v>
      </c>
      <c r="S101" t="s">
        <v>2924</v>
      </c>
    </row>
    <row r="102" spans="1:19" x14ac:dyDescent="0.3">
      <c r="A102" s="8">
        <v>45667</v>
      </c>
      <c r="B102" t="s">
        <v>23</v>
      </c>
      <c r="C102" t="s">
        <v>29</v>
      </c>
      <c r="D102">
        <v>3</v>
      </c>
      <c r="E102">
        <v>98.15</v>
      </c>
      <c r="F102" t="s">
        <v>34</v>
      </c>
      <c r="G102" t="s">
        <v>35</v>
      </c>
      <c r="H102">
        <v>0.15</v>
      </c>
      <c r="I102" t="s">
        <v>41</v>
      </c>
      <c r="J102">
        <v>250.2825</v>
      </c>
      <c r="K102" t="s">
        <v>46</v>
      </c>
      <c r="L102" t="s">
        <v>49</v>
      </c>
      <c r="M102">
        <v>0</v>
      </c>
      <c r="N102" t="s">
        <v>786</v>
      </c>
      <c r="O102" t="s">
        <v>2257</v>
      </c>
      <c r="P102">
        <v>46.37</v>
      </c>
      <c r="Q102" s="8">
        <v>45667</v>
      </c>
      <c r="R102" s="8">
        <v>45675</v>
      </c>
      <c r="S102" t="s">
        <v>2926</v>
      </c>
    </row>
    <row r="103" spans="1:19" x14ac:dyDescent="0.3">
      <c r="A103" s="8">
        <v>45308</v>
      </c>
      <c r="B103" t="s">
        <v>19</v>
      </c>
      <c r="C103" t="s">
        <v>24</v>
      </c>
      <c r="D103">
        <v>7</v>
      </c>
      <c r="E103">
        <v>322.11</v>
      </c>
      <c r="F103" t="s">
        <v>33</v>
      </c>
      <c r="G103" t="s">
        <v>35</v>
      </c>
      <c r="H103">
        <v>0.1</v>
      </c>
      <c r="I103" t="s">
        <v>41</v>
      </c>
      <c r="J103">
        <v>2029.2929999999999</v>
      </c>
      <c r="K103" t="s">
        <v>46</v>
      </c>
      <c r="L103" t="s">
        <v>49</v>
      </c>
      <c r="M103">
        <v>0</v>
      </c>
      <c r="N103" t="s">
        <v>781</v>
      </c>
      <c r="O103" t="s">
        <v>2252</v>
      </c>
      <c r="P103">
        <v>19.91</v>
      </c>
      <c r="Q103" s="8">
        <v>45308</v>
      </c>
      <c r="R103" s="8">
        <v>45318</v>
      </c>
      <c r="S103" t="s">
        <v>2922</v>
      </c>
    </row>
    <row r="104" spans="1:19" x14ac:dyDescent="0.3">
      <c r="A104" s="8">
        <v>45300</v>
      </c>
      <c r="B104" t="s">
        <v>22</v>
      </c>
      <c r="C104" t="s">
        <v>28</v>
      </c>
      <c r="D104">
        <v>19</v>
      </c>
      <c r="E104">
        <v>380.82</v>
      </c>
      <c r="F104" t="s">
        <v>34</v>
      </c>
      <c r="G104" t="s">
        <v>35</v>
      </c>
      <c r="H104">
        <v>0.1</v>
      </c>
      <c r="I104" t="s">
        <v>41</v>
      </c>
      <c r="J104">
        <v>6512.0219999999999</v>
      </c>
      <c r="K104" t="s">
        <v>45</v>
      </c>
      <c r="L104" t="s">
        <v>49</v>
      </c>
      <c r="M104">
        <v>0</v>
      </c>
      <c r="N104" t="s">
        <v>775</v>
      </c>
      <c r="O104" t="s">
        <v>2246</v>
      </c>
      <c r="P104">
        <v>48.73</v>
      </c>
      <c r="Q104" s="8">
        <v>45300</v>
      </c>
      <c r="R104" s="8">
        <v>45303</v>
      </c>
      <c r="S104" t="s">
        <v>2925</v>
      </c>
    </row>
    <row r="105" spans="1:19" x14ac:dyDescent="0.3">
      <c r="A105" s="8">
        <v>44941</v>
      </c>
      <c r="B105" t="s">
        <v>21</v>
      </c>
      <c r="C105" t="s">
        <v>26</v>
      </c>
      <c r="D105">
        <v>15</v>
      </c>
      <c r="E105">
        <v>185</v>
      </c>
      <c r="F105" t="s">
        <v>31</v>
      </c>
      <c r="G105" t="s">
        <v>35</v>
      </c>
      <c r="H105">
        <v>0</v>
      </c>
      <c r="I105" t="s">
        <v>38</v>
      </c>
      <c r="J105">
        <v>2775</v>
      </c>
      <c r="K105" t="s">
        <v>47</v>
      </c>
      <c r="L105" t="s">
        <v>48</v>
      </c>
      <c r="M105">
        <v>0</v>
      </c>
      <c r="N105" t="s">
        <v>774</v>
      </c>
      <c r="O105" t="s">
        <v>2245</v>
      </c>
      <c r="P105">
        <v>29.31</v>
      </c>
      <c r="Q105" s="8">
        <v>44941</v>
      </c>
      <c r="R105" s="8">
        <v>44943</v>
      </c>
      <c r="S105" t="s">
        <v>2924</v>
      </c>
    </row>
    <row r="106" spans="1:19" x14ac:dyDescent="0.3">
      <c r="A106" s="8">
        <v>45300</v>
      </c>
      <c r="B106" t="s">
        <v>22</v>
      </c>
      <c r="C106" t="s">
        <v>30</v>
      </c>
      <c r="D106">
        <v>11</v>
      </c>
      <c r="E106">
        <v>404.88</v>
      </c>
      <c r="F106" t="s">
        <v>32</v>
      </c>
      <c r="G106" t="s">
        <v>35</v>
      </c>
      <c r="H106">
        <v>0.05</v>
      </c>
      <c r="I106" t="s">
        <v>38</v>
      </c>
      <c r="J106">
        <v>4230.9960000000001</v>
      </c>
      <c r="K106" t="s">
        <v>44</v>
      </c>
      <c r="L106" t="s">
        <v>49</v>
      </c>
      <c r="M106">
        <v>0</v>
      </c>
      <c r="N106" t="s">
        <v>746</v>
      </c>
      <c r="O106" t="s">
        <v>2218</v>
      </c>
      <c r="P106">
        <v>18.920000000000002</v>
      </c>
      <c r="Q106" s="8">
        <v>45300</v>
      </c>
      <c r="R106" s="8">
        <v>45307</v>
      </c>
      <c r="S106" t="s">
        <v>2925</v>
      </c>
    </row>
    <row r="107" spans="1:19" x14ac:dyDescent="0.3">
      <c r="A107" s="8">
        <v>45318</v>
      </c>
      <c r="B107" t="s">
        <v>22</v>
      </c>
      <c r="C107" t="s">
        <v>26</v>
      </c>
      <c r="D107">
        <v>17</v>
      </c>
      <c r="E107">
        <v>108.48</v>
      </c>
      <c r="F107" t="s">
        <v>32</v>
      </c>
      <c r="G107" t="s">
        <v>35</v>
      </c>
      <c r="H107">
        <v>0.1</v>
      </c>
      <c r="I107" t="s">
        <v>40</v>
      </c>
      <c r="J107">
        <v>1659.7439999999999</v>
      </c>
      <c r="K107" t="s">
        <v>43</v>
      </c>
      <c r="M107">
        <v>1</v>
      </c>
      <c r="N107" t="s">
        <v>741</v>
      </c>
      <c r="O107" t="s">
        <v>2213</v>
      </c>
      <c r="P107">
        <v>48.9</v>
      </c>
      <c r="Q107" s="8">
        <v>45318</v>
      </c>
      <c r="R107" s="8">
        <v>45327</v>
      </c>
      <c r="S107" t="s">
        <v>2925</v>
      </c>
    </row>
    <row r="108" spans="1:19" x14ac:dyDescent="0.3">
      <c r="A108" s="8">
        <v>45687</v>
      </c>
      <c r="B108" t="s">
        <v>21</v>
      </c>
      <c r="C108" t="s">
        <v>25</v>
      </c>
      <c r="D108">
        <v>17</v>
      </c>
      <c r="E108">
        <v>179.32</v>
      </c>
      <c r="F108" t="s">
        <v>32</v>
      </c>
      <c r="G108" t="s">
        <v>36</v>
      </c>
      <c r="H108">
        <v>0.1</v>
      </c>
      <c r="I108" t="s">
        <v>42</v>
      </c>
      <c r="J108">
        <v>2743.596</v>
      </c>
      <c r="K108" t="s">
        <v>46</v>
      </c>
      <c r="L108" t="s">
        <v>49</v>
      </c>
      <c r="M108">
        <v>1</v>
      </c>
      <c r="N108" t="s">
        <v>739</v>
      </c>
      <c r="O108" t="s">
        <v>2211</v>
      </c>
      <c r="P108">
        <v>26.74</v>
      </c>
      <c r="Q108" s="8">
        <v>45687</v>
      </c>
      <c r="R108" s="8">
        <v>45694</v>
      </c>
      <c r="S108" t="s">
        <v>2924</v>
      </c>
    </row>
    <row r="109" spans="1:19" x14ac:dyDescent="0.3">
      <c r="A109" s="8">
        <v>45314</v>
      </c>
      <c r="B109" t="s">
        <v>21</v>
      </c>
      <c r="C109" t="s">
        <v>30</v>
      </c>
      <c r="D109">
        <v>8</v>
      </c>
      <c r="E109">
        <v>50.72</v>
      </c>
      <c r="F109" t="s">
        <v>32</v>
      </c>
      <c r="G109" t="s">
        <v>35</v>
      </c>
      <c r="H109">
        <v>0.05</v>
      </c>
      <c r="I109" t="s">
        <v>40</v>
      </c>
      <c r="J109">
        <v>385.47199999999998</v>
      </c>
      <c r="K109" t="s">
        <v>46</v>
      </c>
      <c r="M109">
        <v>0</v>
      </c>
      <c r="N109" t="s">
        <v>728</v>
      </c>
      <c r="O109" t="s">
        <v>2201</v>
      </c>
      <c r="P109">
        <v>12.35</v>
      </c>
      <c r="Q109" s="8">
        <v>45314</v>
      </c>
      <c r="R109" s="8">
        <v>45321</v>
      </c>
      <c r="S109" t="s">
        <v>2924</v>
      </c>
    </row>
    <row r="110" spans="1:19" x14ac:dyDescent="0.3">
      <c r="A110" s="8">
        <v>44935</v>
      </c>
      <c r="B110" t="s">
        <v>20</v>
      </c>
      <c r="C110" t="s">
        <v>26</v>
      </c>
      <c r="D110">
        <v>16</v>
      </c>
      <c r="E110">
        <v>258.82</v>
      </c>
      <c r="F110" t="s">
        <v>34</v>
      </c>
      <c r="G110" t="s">
        <v>36</v>
      </c>
      <c r="H110">
        <v>0.1</v>
      </c>
      <c r="I110" t="s">
        <v>41</v>
      </c>
      <c r="J110">
        <v>3727.0079999999998</v>
      </c>
      <c r="K110" t="s">
        <v>43</v>
      </c>
      <c r="L110" t="s">
        <v>49</v>
      </c>
      <c r="M110">
        <v>0</v>
      </c>
      <c r="N110" t="s">
        <v>715</v>
      </c>
      <c r="O110" t="s">
        <v>2188</v>
      </c>
      <c r="P110">
        <v>46.93</v>
      </c>
      <c r="Q110" s="8">
        <v>44935</v>
      </c>
      <c r="R110" s="8">
        <v>44943</v>
      </c>
      <c r="S110" t="s">
        <v>2923</v>
      </c>
    </row>
    <row r="111" spans="1:19" x14ac:dyDescent="0.3">
      <c r="A111" s="8">
        <v>45295</v>
      </c>
      <c r="B111" t="s">
        <v>23</v>
      </c>
      <c r="C111" t="s">
        <v>29</v>
      </c>
      <c r="D111">
        <v>1</v>
      </c>
      <c r="E111">
        <v>103.13</v>
      </c>
      <c r="F111" t="s">
        <v>31</v>
      </c>
      <c r="G111" t="s">
        <v>35</v>
      </c>
      <c r="H111">
        <v>0</v>
      </c>
      <c r="I111" t="s">
        <v>42</v>
      </c>
      <c r="J111">
        <v>103.13</v>
      </c>
      <c r="K111" t="s">
        <v>43</v>
      </c>
      <c r="L111" t="s">
        <v>48</v>
      </c>
      <c r="M111">
        <v>0</v>
      </c>
      <c r="N111" t="s">
        <v>707</v>
      </c>
      <c r="O111" t="s">
        <v>2181</v>
      </c>
      <c r="P111">
        <v>42.38</v>
      </c>
      <c r="Q111" s="8">
        <v>45295</v>
      </c>
      <c r="R111" s="8">
        <v>45305</v>
      </c>
      <c r="S111" t="s">
        <v>2926</v>
      </c>
    </row>
    <row r="112" spans="1:19" x14ac:dyDescent="0.3">
      <c r="A112" s="8">
        <v>45306</v>
      </c>
      <c r="B112" t="s">
        <v>20</v>
      </c>
      <c r="C112" t="s">
        <v>27</v>
      </c>
      <c r="D112">
        <v>6</v>
      </c>
      <c r="E112">
        <v>291.58</v>
      </c>
      <c r="F112" t="s">
        <v>31</v>
      </c>
      <c r="G112" t="s">
        <v>35</v>
      </c>
      <c r="H112">
        <v>0</v>
      </c>
      <c r="I112" t="s">
        <v>39</v>
      </c>
      <c r="J112">
        <v>1749.48</v>
      </c>
      <c r="K112" t="s">
        <v>45</v>
      </c>
      <c r="L112" t="s">
        <v>48</v>
      </c>
      <c r="M112">
        <v>0</v>
      </c>
      <c r="N112" t="s">
        <v>706</v>
      </c>
      <c r="O112" t="s">
        <v>2180</v>
      </c>
      <c r="P112">
        <v>30.25</v>
      </c>
      <c r="Q112" s="8">
        <v>45306</v>
      </c>
      <c r="R112" s="8">
        <v>45308</v>
      </c>
      <c r="S112" t="s">
        <v>2923</v>
      </c>
    </row>
    <row r="113" spans="1:19" x14ac:dyDescent="0.3">
      <c r="A113" s="8">
        <v>44948</v>
      </c>
      <c r="B113" t="s">
        <v>22</v>
      </c>
      <c r="C113" t="s">
        <v>25</v>
      </c>
      <c r="D113">
        <v>6</v>
      </c>
      <c r="E113">
        <v>104.19</v>
      </c>
      <c r="F113" t="s">
        <v>33</v>
      </c>
      <c r="G113" t="s">
        <v>36</v>
      </c>
      <c r="H113">
        <v>0.1</v>
      </c>
      <c r="I113" t="s">
        <v>41</v>
      </c>
      <c r="J113">
        <v>562.62599999999998</v>
      </c>
      <c r="K113" t="s">
        <v>43</v>
      </c>
      <c r="M113">
        <v>0</v>
      </c>
      <c r="N113" t="s">
        <v>704</v>
      </c>
      <c r="O113" t="s">
        <v>2178</v>
      </c>
      <c r="P113">
        <v>8.6199999999999992</v>
      </c>
      <c r="Q113" s="8">
        <v>44948</v>
      </c>
      <c r="R113" s="8">
        <v>44950</v>
      </c>
      <c r="S113" t="s">
        <v>2925</v>
      </c>
    </row>
    <row r="114" spans="1:19" x14ac:dyDescent="0.3">
      <c r="A114" s="8">
        <v>44927</v>
      </c>
      <c r="B114" t="s">
        <v>19</v>
      </c>
      <c r="C114" t="s">
        <v>29</v>
      </c>
      <c r="D114">
        <v>15</v>
      </c>
      <c r="E114">
        <v>298.70999999999998</v>
      </c>
      <c r="F114" t="s">
        <v>33</v>
      </c>
      <c r="G114" t="s">
        <v>36</v>
      </c>
      <c r="H114">
        <v>0</v>
      </c>
      <c r="I114" t="s">
        <v>42</v>
      </c>
      <c r="J114">
        <v>4480.6499999999996</v>
      </c>
      <c r="K114" t="s">
        <v>46</v>
      </c>
      <c r="L114" t="s">
        <v>49</v>
      </c>
      <c r="M114">
        <v>0</v>
      </c>
      <c r="N114" t="s">
        <v>702</v>
      </c>
      <c r="O114" t="s">
        <v>2176</v>
      </c>
      <c r="P114">
        <v>11.38</v>
      </c>
      <c r="Q114" s="8">
        <v>44927</v>
      </c>
      <c r="R114" s="8">
        <v>44934</v>
      </c>
      <c r="S114" t="s">
        <v>2922</v>
      </c>
    </row>
    <row r="115" spans="1:19" x14ac:dyDescent="0.3">
      <c r="A115" s="8">
        <v>44947</v>
      </c>
      <c r="B115" t="s">
        <v>19</v>
      </c>
      <c r="C115" t="s">
        <v>28</v>
      </c>
      <c r="D115">
        <v>9</v>
      </c>
      <c r="E115">
        <v>475.38</v>
      </c>
      <c r="F115" t="s">
        <v>32</v>
      </c>
      <c r="G115" t="s">
        <v>35</v>
      </c>
      <c r="H115">
        <v>0.1</v>
      </c>
      <c r="I115" t="s">
        <v>40</v>
      </c>
      <c r="J115">
        <v>3850.578</v>
      </c>
      <c r="K115" t="s">
        <v>46</v>
      </c>
      <c r="L115" t="s">
        <v>49</v>
      </c>
      <c r="M115">
        <v>0</v>
      </c>
      <c r="N115" t="s">
        <v>699</v>
      </c>
      <c r="O115" t="s">
        <v>2173</v>
      </c>
      <c r="P115">
        <v>39.979999999999997</v>
      </c>
      <c r="Q115" s="8">
        <v>44947</v>
      </c>
      <c r="R115" s="8">
        <v>44953</v>
      </c>
      <c r="S115" t="s">
        <v>2922</v>
      </c>
    </row>
    <row r="116" spans="1:19" x14ac:dyDescent="0.3">
      <c r="A116" s="8">
        <v>44935</v>
      </c>
      <c r="B116" t="s">
        <v>19</v>
      </c>
      <c r="C116" t="s">
        <v>28</v>
      </c>
      <c r="D116">
        <v>10</v>
      </c>
      <c r="E116">
        <v>209.95</v>
      </c>
      <c r="F116" t="s">
        <v>32</v>
      </c>
      <c r="G116" t="s">
        <v>35</v>
      </c>
      <c r="H116">
        <v>0.1</v>
      </c>
      <c r="I116" t="s">
        <v>37</v>
      </c>
      <c r="J116">
        <v>1889.55</v>
      </c>
      <c r="K116" t="s">
        <v>47</v>
      </c>
      <c r="L116" t="s">
        <v>50</v>
      </c>
      <c r="M116">
        <v>0</v>
      </c>
      <c r="N116" t="s">
        <v>696</v>
      </c>
      <c r="O116" t="s">
        <v>2170</v>
      </c>
      <c r="P116">
        <v>10.99</v>
      </c>
      <c r="Q116" s="8">
        <v>44935</v>
      </c>
      <c r="R116" s="8">
        <v>44939</v>
      </c>
      <c r="S116" t="s">
        <v>2922</v>
      </c>
    </row>
    <row r="117" spans="1:19" x14ac:dyDescent="0.3">
      <c r="A117" s="8">
        <v>45668</v>
      </c>
      <c r="B117" t="s">
        <v>19</v>
      </c>
      <c r="C117" t="s">
        <v>25</v>
      </c>
      <c r="D117">
        <v>20</v>
      </c>
      <c r="E117">
        <v>400.05</v>
      </c>
      <c r="F117" t="s">
        <v>34</v>
      </c>
      <c r="G117" t="s">
        <v>35</v>
      </c>
      <c r="H117">
        <v>0.1</v>
      </c>
      <c r="I117" t="s">
        <v>41</v>
      </c>
      <c r="J117">
        <v>7200.9000000000005</v>
      </c>
      <c r="K117" t="s">
        <v>46</v>
      </c>
      <c r="L117" t="s">
        <v>50</v>
      </c>
      <c r="M117">
        <v>0</v>
      </c>
      <c r="N117" t="s">
        <v>686</v>
      </c>
      <c r="O117" t="s">
        <v>2161</v>
      </c>
      <c r="P117">
        <v>24.41</v>
      </c>
      <c r="Q117" s="8">
        <v>45668</v>
      </c>
      <c r="R117" s="8">
        <v>45670</v>
      </c>
      <c r="S117" t="s">
        <v>2922</v>
      </c>
    </row>
    <row r="118" spans="1:19" x14ac:dyDescent="0.3">
      <c r="A118" s="8">
        <v>45316</v>
      </c>
      <c r="B118" t="s">
        <v>19</v>
      </c>
      <c r="C118" t="s">
        <v>26</v>
      </c>
      <c r="D118">
        <v>5</v>
      </c>
      <c r="E118">
        <v>215.6</v>
      </c>
      <c r="F118" t="s">
        <v>33</v>
      </c>
      <c r="G118" t="s">
        <v>35</v>
      </c>
      <c r="H118">
        <v>0</v>
      </c>
      <c r="I118" t="s">
        <v>39</v>
      </c>
      <c r="J118">
        <v>1078</v>
      </c>
      <c r="K118" t="s">
        <v>43</v>
      </c>
      <c r="L118" t="s">
        <v>50</v>
      </c>
      <c r="M118">
        <v>0</v>
      </c>
      <c r="N118" t="s">
        <v>165</v>
      </c>
      <c r="O118" t="s">
        <v>1665</v>
      </c>
      <c r="P118">
        <v>28.36</v>
      </c>
      <c r="Q118" s="8">
        <v>45316</v>
      </c>
      <c r="R118" s="8">
        <v>45326</v>
      </c>
      <c r="S118" t="s">
        <v>2922</v>
      </c>
    </row>
    <row r="119" spans="1:19" x14ac:dyDescent="0.3">
      <c r="A119" s="8">
        <v>44932</v>
      </c>
      <c r="B119" t="s">
        <v>19</v>
      </c>
      <c r="C119" t="s">
        <v>24</v>
      </c>
      <c r="D119">
        <v>7</v>
      </c>
      <c r="E119">
        <v>193.66</v>
      </c>
      <c r="F119" t="s">
        <v>32</v>
      </c>
      <c r="G119" t="s">
        <v>35</v>
      </c>
      <c r="H119">
        <v>0.1</v>
      </c>
      <c r="I119" t="s">
        <v>41</v>
      </c>
      <c r="J119">
        <v>1220.058</v>
      </c>
      <c r="K119" t="s">
        <v>45</v>
      </c>
      <c r="L119" t="s">
        <v>48</v>
      </c>
      <c r="M119">
        <v>0</v>
      </c>
      <c r="N119" t="s">
        <v>678</v>
      </c>
      <c r="O119" t="s">
        <v>2153</v>
      </c>
      <c r="P119">
        <v>39.01</v>
      </c>
      <c r="Q119" s="8">
        <v>44932</v>
      </c>
      <c r="R119" s="8">
        <v>44941</v>
      </c>
      <c r="S119" t="s">
        <v>2922</v>
      </c>
    </row>
    <row r="120" spans="1:19" x14ac:dyDescent="0.3">
      <c r="A120" s="8">
        <v>45293</v>
      </c>
      <c r="B120" t="s">
        <v>21</v>
      </c>
      <c r="C120" t="s">
        <v>29</v>
      </c>
      <c r="D120">
        <v>15</v>
      </c>
      <c r="E120">
        <v>115.48</v>
      </c>
      <c r="F120" t="s">
        <v>32</v>
      </c>
      <c r="G120" t="s">
        <v>36</v>
      </c>
      <c r="H120">
        <v>0.15</v>
      </c>
      <c r="I120" t="s">
        <v>39</v>
      </c>
      <c r="J120">
        <v>1472.37</v>
      </c>
      <c r="K120" t="s">
        <v>45</v>
      </c>
      <c r="M120">
        <v>0</v>
      </c>
      <c r="N120" t="s">
        <v>667</v>
      </c>
      <c r="O120" t="s">
        <v>2143</v>
      </c>
      <c r="P120">
        <v>6.04</v>
      </c>
      <c r="Q120" s="8">
        <v>45293</v>
      </c>
      <c r="R120" s="8">
        <v>45303</v>
      </c>
      <c r="S120" t="s">
        <v>2924</v>
      </c>
    </row>
    <row r="121" spans="1:19" x14ac:dyDescent="0.3">
      <c r="A121" s="8">
        <v>44933</v>
      </c>
      <c r="B121" t="s">
        <v>19</v>
      </c>
      <c r="C121" t="s">
        <v>26</v>
      </c>
      <c r="D121">
        <v>13</v>
      </c>
      <c r="E121">
        <v>561.62</v>
      </c>
      <c r="F121" t="s">
        <v>33</v>
      </c>
      <c r="G121" t="s">
        <v>35</v>
      </c>
      <c r="H121">
        <v>0.05</v>
      </c>
      <c r="I121" t="s">
        <v>39</v>
      </c>
      <c r="J121">
        <v>6936.0069999999996</v>
      </c>
      <c r="K121" t="s">
        <v>44</v>
      </c>
      <c r="L121" t="s">
        <v>48</v>
      </c>
      <c r="M121">
        <v>0</v>
      </c>
      <c r="N121" t="s">
        <v>665</v>
      </c>
      <c r="O121" t="s">
        <v>2141</v>
      </c>
      <c r="P121">
        <v>12.91</v>
      </c>
      <c r="Q121" s="8">
        <v>44933</v>
      </c>
      <c r="R121" s="8">
        <v>44937</v>
      </c>
      <c r="S121" t="s">
        <v>2922</v>
      </c>
    </row>
    <row r="122" spans="1:19" x14ac:dyDescent="0.3">
      <c r="A122" s="8">
        <v>45309</v>
      </c>
      <c r="B122" t="s">
        <v>19</v>
      </c>
      <c r="C122" t="s">
        <v>25</v>
      </c>
      <c r="D122">
        <v>2</v>
      </c>
      <c r="E122">
        <v>297.2</v>
      </c>
      <c r="F122" t="s">
        <v>31</v>
      </c>
      <c r="G122" t="s">
        <v>36</v>
      </c>
      <c r="H122">
        <v>0.1</v>
      </c>
      <c r="I122" t="s">
        <v>39</v>
      </c>
      <c r="J122">
        <v>534.96</v>
      </c>
      <c r="K122" t="s">
        <v>44</v>
      </c>
      <c r="L122" t="s">
        <v>48</v>
      </c>
      <c r="M122">
        <v>0</v>
      </c>
      <c r="N122" t="s">
        <v>661</v>
      </c>
      <c r="O122" t="s">
        <v>2137</v>
      </c>
      <c r="P122">
        <v>8.7100000000000009</v>
      </c>
      <c r="Q122" s="8">
        <v>45309</v>
      </c>
      <c r="R122" s="8">
        <v>45314</v>
      </c>
      <c r="S122" t="s">
        <v>2922</v>
      </c>
    </row>
    <row r="123" spans="1:19" x14ac:dyDescent="0.3">
      <c r="A123" s="8">
        <v>45320</v>
      </c>
      <c r="B123" t="s">
        <v>23</v>
      </c>
      <c r="C123" t="s">
        <v>30</v>
      </c>
      <c r="D123">
        <v>16</v>
      </c>
      <c r="E123">
        <v>514.36</v>
      </c>
      <c r="F123" t="s">
        <v>34</v>
      </c>
      <c r="G123" t="s">
        <v>35</v>
      </c>
      <c r="H123">
        <v>0</v>
      </c>
      <c r="I123" t="s">
        <v>38</v>
      </c>
      <c r="J123">
        <v>8229.76</v>
      </c>
      <c r="K123" t="s">
        <v>43</v>
      </c>
      <c r="L123" t="s">
        <v>49</v>
      </c>
      <c r="M123">
        <v>0</v>
      </c>
      <c r="N123" t="s">
        <v>660</v>
      </c>
      <c r="O123" t="s">
        <v>2136</v>
      </c>
      <c r="P123">
        <v>40.75</v>
      </c>
      <c r="Q123" s="8">
        <v>45320</v>
      </c>
      <c r="R123" s="8">
        <v>45323</v>
      </c>
      <c r="S123" t="s">
        <v>2926</v>
      </c>
    </row>
    <row r="124" spans="1:19" x14ac:dyDescent="0.3">
      <c r="A124" s="8">
        <v>45315</v>
      </c>
      <c r="B124" t="s">
        <v>22</v>
      </c>
      <c r="C124" t="s">
        <v>24</v>
      </c>
      <c r="D124">
        <v>11</v>
      </c>
      <c r="E124">
        <v>259.61</v>
      </c>
      <c r="F124" t="s">
        <v>33</v>
      </c>
      <c r="G124" t="s">
        <v>35</v>
      </c>
      <c r="H124">
        <v>0.1</v>
      </c>
      <c r="I124" t="s">
        <v>40</v>
      </c>
      <c r="J124">
        <v>2570.1390000000001</v>
      </c>
      <c r="K124" t="s">
        <v>47</v>
      </c>
      <c r="L124" t="s">
        <v>48</v>
      </c>
      <c r="M124">
        <v>0</v>
      </c>
      <c r="N124" t="s">
        <v>171</v>
      </c>
      <c r="O124" t="s">
        <v>1671</v>
      </c>
      <c r="P124">
        <v>13.73</v>
      </c>
      <c r="Q124" s="8">
        <v>45315</v>
      </c>
      <c r="R124" s="8">
        <v>45322</v>
      </c>
      <c r="S124" t="s">
        <v>2925</v>
      </c>
    </row>
    <row r="125" spans="1:19" x14ac:dyDescent="0.3">
      <c r="A125" s="8">
        <v>45688</v>
      </c>
      <c r="B125" t="s">
        <v>20</v>
      </c>
      <c r="C125" t="s">
        <v>29</v>
      </c>
      <c r="D125">
        <v>19</v>
      </c>
      <c r="E125">
        <v>90.85</v>
      </c>
      <c r="F125" t="s">
        <v>33</v>
      </c>
      <c r="G125" t="s">
        <v>36</v>
      </c>
      <c r="H125">
        <v>0.05</v>
      </c>
      <c r="I125" t="s">
        <v>38</v>
      </c>
      <c r="J125">
        <v>1639.8425</v>
      </c>
      <c r="K125" t="s">
        <v>45</v>
      </c>
      <c r="L125" t="s">
        <v>49</v>
      </c>
      <c r="M125">
        <v>0</v>
      </c>
      <c r="N125" t="s">
        <v>649</v>
      </c>
      <c r="O125" t="s">
        <v>2125</v>
      </c>
      <c r="P125">
        <v>22.28</v>
      </c>
      <c r="Q125" s="8">
        <v>45688</v>
      </c>
      <c r="R125" s="8">
        <v>45694</v>
      </c>
      <c r="S125" t="s">
        <v>2923</v>
      </c>
    </row>
    <row r="126" spans="1:19" x14ac:dyDescent="0.3">
      <c r="A126" s="8">
        <v>45313</v>
      </c>
      <c r="B126" t="s">
        <v>20</v>
      </c>
      <c r="C126" t="s">
        <v>29</v>
      </c>
      <c r="D126">
        <v>5</v>
      </c>
      <c r="E126">
        <v>106.57</v>
      </c>
      <c r="F126" t="s">
        <v>33</v>
      </c>
      <c r="G126" t="s">
        <v>35</v>
      </c>
      <c r="H126">
        <v>0.1</v>
      </c>
      <c r="I126" t="s">
        <v>40</v>
      </c>
      <c r="J126">
        <v>479.56499999999988</v>
      </c>
      <c r="K126" t="s">
        <v>46</v>
      </c>
      <c r="L126" t="s">
        <v>49</v>
      </c>
      <c r="M126">
        <v>1</v>
      </c>
      <c r="N126" t="s">
        <v>173</v>
      </c>
      <c r="O126" t="s">
        <v>1673</v>
      </c>
      <c r="P126">
        <v>25.24</v>
      </c>
      <c r="Q126" s="8">
        <v>45313</v>
      </c>
      <c r="R126" s="8">
        <v>45319</v>
      </c>
      <c r="S126" t="s">
        <v>2923</v>
      </c>
    </row>
    <row r="127" spans="1:19" x14ac:dyDescent="0.3">
      <c r="A127" s="8">
        <v>45307</v>
      </c>
      <c r="B127" t="s">
        <v>20</v>
      </c>
      <c r="C127" t="s">
        <v>29</v>
      </c>
      <c r="D127">
        <v>5</v>
      </c>
      <c r="E127">
        <v>440.93</v>
      </c>
      <c r="F127" t="s">
        <v>31</v>
      </c>
      <c r="G127" t="s">
        <v>35</v>
      </c>
      <c r="H127">
        <v>0.1</v>
      </c>
      <c r="I127" t="s">
        <v>40</v>
      </c>
      <c r="J127">
        <v>1984.1849999999999</v>
      </c>
      <c r="K127" t="s">
        <v>44</v>
      </c>
      <c r="M127">
        <v>0</v>
      </c>
      <c r="N127" t="s">
        <v>637</v>
      </c>
      <c r="O127" t="s">
        <v>2114</v>
      </c>
      <c r="P127">
        <v>23.84</v>
      </c>
      <c r="Q127" s="8">
        <v>45307</v>
      </c>
      <c r="R127" s="8">
        <v>45311</v>
      </c>
      <c r="S127" t="s">
        <v>2923</v>
      </c>
    </row>
    <row r="128" spans="1:19" x14ac:dyDescent="0.3">
      <c r="A128" s="8">
        <v>45658</v>
      </c>
      <c r="B128" t="s">
        <v>19</v>
      </c>
      <c r="C128" t="s">
        <v>24</v>
      </c>
      <c r="D128">
        <v>17</v>
      </c>
      <c r="E128">
        <v>584.70000000000005</v>
      </c>
      <c r="F128" t="s">
        <v>34</v>
      </c>
      <c r="G128" t="s">
        <v>36</v>
      </c>
      <c r="H128">
        <v>0.1</v>
      </c>
      <c r="I128" t="s">
        <v>37</v>
      </c>
      <c r="J128">
        <v>8945.9100000000017</v>
      </c>
      <c r="K128" t="s">
        <v>43</v>
      </c>
      <c r="M128">
        <v>1</v>
      </c>
      <c r="N128" t="s">
        <v>635</v>
      </c>
      <c r="O128" t="s">
        <v>2112</v>
      </c>
      <c r="P128">
        <v>46.59</v>
      </c>
      <c r="Q128" s="8">
        <v>45658</v>
      </c>
      <c r="R128" s="8">
        <v>45660</v>
      </c>
      <c r="S128" t="s">
        <v>2922</v>
      </c>
    </row>
    <row r="129" spans="1:19" x14ac:dyDescent="0.3">
      <c r="A129" s="8">
        <v>45659</v>
      </c>
      <c r="B129" t="s">
        <v>22</v>
      </c>
      <c r="C129" t="s">
        <v>24</v>
      </c>
      <c r="D129">
        <v>4</v>
      </c>
      <c r="E129">
        <v>403.97</v>
      </c>
      <c r="F129" t="s">
        <v>32</v>
      </c>
      <c r="G129" t="s">
        <v>35</v>
      </c>
      <c r="H129">
        <v>0.05</v>
      </c>
      <c r="I129" t="s">
        <v>38</v>
      </c>
      <c r="J129">
        <v>1535.086</v>
      </c>
      <c r="K129" t="s">
        <v>47</v>
      </c>
      <c r="L129" t="s">
        <v>50</v>
      </c>
      <c r="M129">
        <v>0</v>
      </c>
      <c r="N129" t="s">
        <v>617</v>
      </c>
      <c r="O129" t="s">
        <v>2095</v>
      </c>
      <c r="P129">
        <v>39.92</v>
      </c>
      <c r="Q129" s="8">
        <v>45659</v>
      </c>
      <c r="R129" s="8">
        <v>45666</v>
      </c>
      <c r="S129" t="s">
        <v>2925</v>
      </c>
    </row>
    <row r="130" spans="1:19" x14ac:dyDescent="0.3">
      <c r="A130" s="8">
        <v>45663</v>
      </c>
      <c r="B130" t="s">
        <v>20</v>
      </c>
      <c r="C130" t="s">
        <v>30</v>
      </c>
      <c r="D130">
        <v>2</v>
      </c>
      <c r="E130">
        <v>264</v>
      </c>
      <c r="F130" t="s">
        <v>34</v>
      </c>
      <c r="G130" t="s">
        <v>36</v>
      </c>
      <c r="H130">
        <v>0</v>
      </c>
      <c r="I130" t="s">
        <v>42</v>
      </c>
      <c r="J130">
        <v>528</v>
      </c>
      <c r="K130" t="s">
        <v>44</v>
      </c>
      <c r="L130" t="s">
        <v>49</v>
      </c>
      <c r="M130">
        <v>0</v>
      </c>
      <c r="N130" t="s">
        <v>616</v>
      </c>
      <c r="O130" t="s">
        <v>2094</v>
      </c>
      <c r="P130">
        <v>26.73</v>
      </c>
      <c r="Q130" s="8">
        <v>45663</v>
      </c>
      <c r="R130" s="8">
        <v>45671</v>
      </c>
      <c r="S130" t="s">
        <v>2923</v>
      </c>
    </row>
    <row r="131" spans="1:19" x14ac:dyDescent="0.3">
      <c r="A131" s="8">
        <v>45315</v>
      </c>
      <c r="B131" t="s">
        <v>19</v>
      </c>
      <c r="C131" t="s">
        <v>25</v>
      </c>
      <c r="D131">
        <v>4</v>
      </c>
      <c r="E131">
        <v>179.92</v>
      </c>
      <c r="F131" t="s">
        <v>34</v>
      </c>
      <c r="G131" t="s">
        <v>36</v>
      </c>
      <c r="H131">
        <v>0.1</v>
      </c>
      <c r="I131" t="s">
        <v>41</v>
      </c>
      <c r="J131">
        <v>647.71199999999999</v>
      </c>
      <c r="K131" t="s">
        <v>43</v>
      </c>
      <c r="L131" t="s">
        <v>50</v>
      </c>
      <c r="M131">
        <v>0</v>
      </c>
      <c r="N131" t="s">
        <v>615</v>
      </c>
      <c r="O131" t="s">
        <v>2093</v>
      </c>
      <c r="P131">
        <v>35.26</v>
      </c>
      <c r="Q131" s="8">
        <v>45315</v>
      </c>
      <c r="R131" s="8">
        <v>45323</v>
      </c>
      <c r="S131" t="s">
        <v>2922</v>
      </c>
    </row>
    <row r="132" spans="1:19" x14ac:dyDescent="0.3">
      <c r="A132" s="8">
        <v>45670</v>
      </c>
      <c r="B132" t="s">
        <v>19</v>
      </c>
      <c r="C132" t="s">
        <v>25</v>
      </c>
      <c r="D132">
        <v>17</v>
      </c>
      <c r="E132">
        <v>263.75</v>
      </c>
      <c r="F132" t="s">
        <v>31</v>
      </c>
      <c r="G132" t="s">
        <v>36</v>
      </c>
      <c r="H132">
        <v>0</v>
      </c>
      <c r="I132" t="s">
        <v>38</v>
      </c>
      <c r="J132">
        <v>4483.75</v>
      </c>
      <c r="K132" t="s">
        <v>43</v>
      </c>
      <c r="M132">
        <v>1</v>
      </c>
      <c r="N132" t="s">
        <v>614</v>
      </c>
      <c r="O132" t="s">
        <v>2092</v>
      </c>
      <c r="P132">
        <v>12.97</v>
      </c>
      <c r="Q132" s="8">
        <v>45670</v>
      </c>
      <c r="R132" s="8">
        <v>45675</v>
      </c>
      <c r="S132" t="s">
        <v>2922</v>
      </c>
    </row>
    <row r="133" spans="1:19" x14ac:dyDescent="0.3">
      <c r="A133" s="8">
        <v>45315</v>
      </c>
      <c r="B133" t="s">
        <v>22</v>
      </c>
      <c r="C133" t="s">
        <v>28</v>
      </c>
      <c r="D133">
        <v>17</v>
      </c>
      <c r="E133">
        <v>155.31</v>
      </c>
      <c r="F133" t="s">
        <v>33</v>
      </c>
      <c r="G133" t="s">
        <v>36</v>
      </c>
      <c r="H133">
        <v>0.15</v>
      </c>
      <c r="I133" t="s">
        <v>42</v>
      </c>
      <c r="J133">
        <v>2244.2294999999999</v>
      </c>
      <c r="K133" t="s">
        <v>45</v>
      </c>
      <c r="L133" t="s">
        <v>50</v>
      </c>
      <c r="M133">
        <v>0</v>
      </c>
      <c r="N133" t="s">
        <v>612</v>
      </c>
      <c r="O133" t="s">
        <v>2090</v>
      </c>
      <c r="P133">
        <v>27.1</v>
      </c>
      <c r="Q133" s="8">
        <v>45315</v>
      </c>
      <c r="R133" s="8">
        <v>45320</v>
      </c>
      <c r="S133" t="s">
        <v>2925</v>
      </c>
    </row>
    <row r="134" spans="1:19" x14ac:dyDescent="0.3">
      <c r="A134" s="8">
        <v>45676</v>
      </c>
      <c r="B134" t="s">
        <v>20</v>
      </c>
      <c r="C134" t="s">
        <v>27</v>
      </c>
      <c r="D134">
        <v>11</v>
      </c>
      <c r="E134">
        <v>587.21</v>
      </c>
      <c r="F134" t="s">
        <v>33</v>
      </c>
      <c r="G134" t="s">
        <v>35</v>
      </c>
      <c r="H134">
        <v>0</v>
      </c>
      <c r="I134" t="s">
        <v>40</v>
      </c>
      <c r="J134">
        <v>6459.31</v>
      </c>
      <c r="K134" t="s">
        <v>46</v>
      </c>
      <c r="L134" t="s">
        <v>50</v>
      </c>
      <c r="M134">
        <v>0</v>
      </c>
      <c r="N134" t="s">
        <v>607</v>
      </c>
      <c r="O134" t="s">
        <v>2085</v>
      </c>
      <c r="P134">
        <v>34.32</v>
      </c>
      <c r="Q134" s="8">
        <v>45676</v>
      </c>
      <c r="R134" s="8">
        <v>45683</v>
      </c>
      <c r="S134" t="s">
        <v>2923</v>
      </c>
    </row>
    <row r="135" spans="1:19" x14ac:dyDescent="0.3">
      <c r="A135" s="8">
        <v>44934</v>
      </c>
      <c r="B135" t="s">
        <v>20</v>
      </c>
      <c r="C135" t="s">
        <v>26</v>
      </c>
      <c r="D135">
        <v>6</v>
      </c>
      <c r="E135">
        <v>581.66999999999996</v>
      </c>
      <c r="F135" t="s">
        <v>32</v>
      </c>
      <c r="G135" t="s">
        <v>35</v>
      </c>
      <c r="H135">
        <v>0</v>
      </c>
      <c r="I135" t="s">
        <v>39</v>
      </c>
      <c r="J135">
        <v>3490.02</v>
      </c>
      <c r="K135" t="s">
        <v>46</v>
      </c>
      <c r="M135">
        <v>0</v>
      </c>
      <c r="N135" t="s">
        <v>601</v>
      </c>
      <c r="O135" t="s">
        <v>2080</v>
      </c>
      <c r="P135">
        <v>39.4</v>
      </c>
      <c r="Q135" s="8">
        <v>44934</v>
      </c>
      <c r="R135" s="8">
        <v>44937</v>
      </c>
      <c r="S135" t="s">
        <v>2923</v>
      </c>
    </row>
    <row r="136" spans="1:19" x14ac:dyDescent="0.3">
      <c r="A136" s="8">
        <v>45316</v>
      </c>
      <c r="B136" t="s">
        <v>20</v>
      </c>
      <c r="C136" t="s">
        <v>28</v>
      </c>
      <c r="D136">
        <v>9</v>
      </c>
      <c r="E136">
        <v>372.44</v>
      </c>
      <c r="F136" t="s">
        <v>32</v>
      </c>
      <c r="G136" t="s">
        <v>35</v>
      </c>
      <c r="H136">
        <v>0.05</v>
      </c>
      <c r="I136" t="s">
        <v>41</v>
      </c>
      <c r="J136">
        <v>3184.3620000000001</v>
      </c>
      <c r="K136" t="s">
        <v>44</v>
      </c>
      <c r="L136" t="s">
        <v>48</v>
      </c>
      <c r="M136">
        <v>0</v>
      </c>
      <c r="N136" t="s">
        <v>594</v>
      </c>
      <c r="O136" t="s">
        <v>2073</v>
      </c>
      <c r="P136">
        <v>41.87</v>
      </c>
      <c r="Q136" s="8">
        <v>45316</v>
      </c>
      <c r="R136" s="8">
        <v>45324</v>
      </c>
      <c r="S136" t="s">
        <v>2923</v>
      </c>
    </row>
    <row r="137" spans="1:19" x14ac:dyDescent="0.3">
      <c r="A137" s="8">
        <v>45303</v>
      </c>
      <c r="B137" t="s">
        <v>21</v>
      </c>
      <c r="C137" t="s">
        <v>28</v>
      </c>
      <c r="D137">
        <v>14</v>
      </c>
      <c r="E137">
        <v>157.13999999999999</v>
      </c>
      <c r="F137" t="s">
        <v>32</v>
      </c>
      <c r="G137" t="s">
        <v>35</v>
      </c>
      <c r="H137">
        <v>0.15</v>
      </c>
      <c r="I137" t="s">
        <v>41</v>
      </c>
      <c r="J137">
        <v>1869.9659999999999</v>
      </c>
      <c r="K137" t="s">
        <v>44</v>
      </c>
      <c r="L137" t="s">
        <v>49</v>
      </c>
      <c r="M137">
        <v>0</v>
      </c>
      <c r="N137" t="s">
        <v>589</v>
      </c>
      <c r="O137" t="s">
        <v>2068</v>
      </c>
      <c r="P137">
        <v>36.04</v>
      </c>
      <c r="Q137" s="8">
        <v>45303</v>
      </c>
      <c r="R137" s="8">
        <v>45313</v>
      </c>
      <c r="S137" t="s">
        <v>2924</v>
      </c>
    </row>
    <row r="138" spans="1:19" x14ac:dyDescent="0.3">
      <c r="A138" s="8">
        <v>44946</v>
      </c>
      <c r="B138" t="s">
        <v>19</v>
      </c>
      <c r="C138" t="s">
        <v>28</v>
      </c>
      <c r="D138">
        <v>8</v>
      </c>
      <c r="E138">
        <v>325.52</v>
      </c>
      <c r="F138" t="s">
        <v>33</v>
      </c>
      <c r="G138" t="s">
        <v>36</v>
      </c>
      <c r="H138">
        <v>0.1</v>
      </c>
      <c r="I138" t="s">
        <v>39</v>
      </c>
      <c r="J138">
        <v>2343.7440000000001</v>
      </c>
      <c r="K138" t="s">
        <v>46</v>
      </c>
      <c r="L138" t="s">
        <v>50</v>
      </c>
      <c r="M138">
        <v>0</v>
      </c>
      <c r="N138" t="s">
        <v>588</v>
      </c>
      <c r="O138" t="s">
        <v>2067</v>
      </c>
      <c r="P138">
        <v>45.59</v>
      </c>
      <c r="Q138" s="8">
        <v>44946</v>
      </c>
      <c r="R138" s="8">
        <v>44951</v>
      </c>
      <c r="S138" t="s">
        <v>2922</v>
      </c>
    </row>
    <row r="139" spans="1:19" x14ac:dyDescent="0.3">
      <c r="A139" s="8">
        <v>45674</v>
      </c>
      <c r="B139" t="s">
        <v>21</v>
      </c>
      <c r="C139" t="s">
        <v>26</v>
      </c>
      <c r="D139">
        <v>12</v>
      </c>
      <c r="E139">
        <v>526.82000000000005</v>
      </c>
      <c r="F139" t="s">
        <v>32</v>
      </c>
      <c r="G139" t="s">
        <v>36</v>
      </c>
      <c r="H139">
        <v>0</v>
      </c>
      <c r="I139" t="s">
        <v>39</v>
      </c>
      <c r="J139">
        <v>6321.84</v>
      </c>
      <c r="K139" t="s">
        <v>45</v>
      </c>
      <c r="L139" t="s">
        <v>50</v>
      </c>
      <c r="M139">
        <v>0</v>
      </c>
      <c r="N139" t="s">
        <v>586</v>
      </c>
      <c r="O139" t="s">
        <v>2065</v>
      </c>
      <c r="P139">
        <v>29.75</v>
      </c>
      <c r="Q139" s="8">
        <v>45674</v>
      </c>
      <c r="R139" s="8">
        <v>45682</v>
      </c>
      <c r="S139" t="s">
        <v>2924</v>
      </c>
    </row>
    <row r="140" spans="1:19" x14ac:dyDescent="0.3">
      <c r="A140" s="8">
        <v>45292</v>
      </c>
      <c r="B140" t="s">
        <v>23</v>
      </c>
      <c r="C140" t="s">
        <v>30</v>
      </c>
      <c r="D140">
        <v>13</v>
      </c>
      <c r="E140">
        <v>204.67</v>
      </c>
      <c r="F140" t="s">
        <v>32</v>
      </c>
      <c r="G140" t="s">
        <v>36</v>
      </c>
      <c r="H140">
        <v>0.15</v>
      </c>
      <c r="I140" t="s">
        <v>38</v>
      </c>
      <c r="J140">
        <v>2261.6035000000002</v>
      </c>
      <c r="K140" t="s">
        <v>43</v>
      </c>
      <c r="M140">
        <v>0</v>
      </c>
      <c r="N140" t="s">
        <v>584</v>
      </c>
      <c r="O140" t="s">
        <v>2063</v>
      </c>
      <c r="P140">
        <v>6.76</v>
      </c>
      <c r="Q140" s="8">
        <v>45292</v>
      </c>
      <c r="R140" s="8">
        <v>45296</v>
      </c>
      <c r="S140" t="s">
        <v>2926</v>
      </c>
    </row>
    <row r="141" spans="1:19" x14ac:dyDescent="0.3">
      <c r="A141" s="8">
        <v>45680</v>
      </c>
      <c r="B141" t="s">
        <v>23</v>
      </c>
      <c r="C141" t="s">
        <v>25</v>
      </c>
      <c r="D141">
        <v>16</v>
      </c>
      <c r="E141">
        <v>193.7</v>
      </c>
      <c r="F141" t="s">
        <v>32</v>
      </c>
      <c r="G141" t="s">
        <v>36</v>
      </c>
      <c r="H141">
        <v>0.15</v>
      </c>
      <c r="I141" t="s">
        <v>42</v>
      </c>
      <c r="J141">
        <v>2634.32</v>
      </c>
      <c r="K141" t="s">
        <v>45</v>
      </c>
      <c r="L141" t="s">
        <v>49</v>
      </c>
      <c r="M141">
        <v>0</v>
      </c>
      <c r="N141" t="s">
        <v>582</v>
      </c>
      <c r="O141" t="s">
        <v>2061</v>
      </c>
      <c r="P141">
        <v>6.83</v>
      </c>
      <c r="Q141" s="8">
        <v>45680</v>
      </c>
      <c r="R141" s="8">
        <v>45686</v>
      </c>
      <c r="S141" t="s">
        <v>2926</v>
      </c>
    </row>
    <row r="142" spans="1:19" x14ac:dyDescent="0.3">
      <c r="A142" s="8">
        <v>45668</v>
      </c>
      <c r="B142" t="s">
        <v>20</v>
      </c>
      <c r="C142" t="s">
        <v>24</v>
      </c>
      <c r="D142">
        <v>6</v>
      </c>
      <c r="E142">
        <v>429.45</v>
      </c>
      <c r="F142" t="s">
        <v>31</v>
      </c>
      <c r="G142" t="s">
        <v>36</v>
      </c>
      <c r="H142">
        <v>0.1</v>
      </c>
      <c r="I142" t="s">
        <v>38</v>
      </c>
      <c r="J142">
        <v>2319.0300000000002</v>
      </c>
      <c r="K142" t="s">
        <v>47</v>
      </c>
      <c r="M142">
        <v>0</v>
      </c>
      <c r="N142" t="s">
        <v>575</v>
      </c>
      <c r="O142" t="s">
        <v>2056</v>
      </c>
      <c r="P142">
        <v>47.18</v>
      </c>
      <c r="Q142" s="8">
        <v>45668</v>
      </c>
      <c r="R142" s="8">
        <v>45675</v>
      </c>
      <c r="S142" t="s">
        <v>2923</v>
      </c>
    </row>
    <row r="143" spans="1:19" x14ac:dyDescent="0.3">
      <c r="A143" s="8">
        <v>45682</v>
      </c>
      <c r="B143" t="s">
        <v>21</v>
      </c>
      <c r="C143" t="s">
        <v>27</v>
      </c>
      <c r="D143">
        <v>3</v>
      </c>
      <c r="E143">
        <v>365.54</v>
      </c>
      <c r="F143" t="s">
        <v>31</v>
      </c>
      <c r="G143" t="s">
        <v>36</v>
      </c>
      <c r="H143">
        <v>0.15</v>
      </c>
      <c r="I143" t="s">
        <v>39</v>
      </c>
      <c r="J143">
        <v>932.12700000000007</v>
      </c>
      <c r="K143" t="s">
        <v>43</v>
      </c>
      <c r="M143">
        <v>0</v>
      </c>
      <c r="N143" t="s">
        <v>562</v>
      </c>
      <c r="O143" t="s">
        <v>2044</v>
      </c>
      <c r="P143">
        <v>45.89</v>
      </c>
      <c r="Q143" s="8">
        <v>45682</v>
      </c>
      <c r="R143" s="8">
        <v>45686</v>
      </c>
      <c r="S143" t="s">
        <v>2924</v>
      </c>
    </row>
    <row r="144" spans="1:19" x14ac:dyDescent="0.3">
      <c r="A144" s="8">
        <v>45680</v>
      </c>
      <c r="B144" t="s">
        <v>19</v>
      </c>
      <c r="C144" t="s">
        <v>24</v>
      </c>
      <c r="D144">
        <v>2</v>
      </c>
      <c r="E144">
        <v>370.78</v>
      </c>
      <c r="F144" t="s">
        <v>34</v>
      </c>
      <c r="G144" t="s">
        <v>35</v>
      </c>
      <c r="H144">
        <v>0.15</v>
      </c>
      <c r="I144" t="s">
        <v>41</v>
      </c>
      <c r="J144">
        <v>630.32599999999991</v>
      </c>
      <c r="K144" t="s">
        <v>43</v>
      </c>
      <c r="L144" t="s">
        <v>48</v>
      </c>
      <c r="M144">
        <v>0</v>
      </c>
      <c r="N144" t="s">
        <v>545</v>
      </c>
      <c r="O144" t="s">
        <v>2029</v>
      </c>
      <c r="P144">
        <v>20.45</v>
      </c>
      <c r="Q144" s="8">
        <v>45680</v>
      </c>
      <c r="R144" s="8">
        <v>45684</v>
      </c>
      <c r="S144" t="s">
        <v>2922</v>
      </c>
    </row>
    <row r="145" spans="1:19" x14ac:dyDescent="0.3">
      <c r="A145" s="8">
        <v>45310</v>
      </c>
      <c r="B145" t="s">
        <v>23</v>
      </c>
      <c r="C145" t="s">
        <v>26</v>
      </c>
      <c r="D145">
        <v>6</v>
      </c>
      <c r="E145">
        <v>148.22999999999999</v>
      </c>
      <c r="F145" t="s">
        <v>31</v>
      </c>
      <c r="G145" t="s">
        <v>36</v>
      </c>
      <c r="H145">
        <v>0.1</v>
      </c>
      <c r="I145" t="s">
        <v>37</v>
      </c>
      <c r="J145">
        <v>800.44199999999989</v>
      </c>
      <c r="K145" t="s">
        <v>45</v>
      </c>
      <c r="L145" t="s">
        <v>48</v>
      </c>
      <c r="M145">
        <v>0</v>
      </c>
      <c r="N145" t="s">
        <v>541</v>
      </c>
      <c r="O145" t="s">
        <v>2026</v>
      </c>
      <c r="P145">
        <v>19.579999999999998</v>
      </c>
      <c r="Q145" s="8">
        <v>45310</v>
      </c>
      <c r="R145" s="8">
        <v>45320</v>
      </c>
      <c r="S145" t="s">
        <v>2926</v>
      </c>
    </row>
    <row r="146" spans="1:19" x14ac:dyDescent="0.3">
      <c r="A146" s="8">
        <v>45674</v>
      </c>
      <c r="B146" t="s">
        <v>21</v>
      </c>
      <c r="C146" t="s">
        <v>29</v>
      </c>
      <c r="D146">
        <v>3</v>
      </c>
      <c r="E146">
        <v>13.33</v>
      </c>
      <c r="F146" t="s">
        <v>34</v>
      </c>
      <c r="G146" t="s">
        <v>36</v>
      </c>
      <c r="H146">
        <v>0.1</v>
      </c>
      <c r="I146" t="s">
        <v>37</v>
      </c>
      <c r="J146">
        <v>35.991</v>
      </c>
      <c r="K146" t="s">
        <v>47</v>
      </c>
      <c r="L146" t="s">
        <v>49</v>
      </c>
      <c r="M146">
        <v>0</v>
      </c>
      <c r="N146" t="s">
        <v>535</v>
      </c>
      <c r="O146" t="s">
        <v>2020</v>
      </c>
      <c r="P146">
        <v>17.62</v>
      </c>
      <c r="Q146" s="8">
        <v>45674</v>
      </c>
      <c r="R146" s="8">
        <v>45680</v>
      </c>
      <c r="S146" t="s">
        <v>2924</v>
      </c>
    </row>
    <row r="147" spans="1:19" x14ac:dyDescent="0.3">
      <c r="A147" s="8">
        <v>44942</v>
      </c>
      <c r="B147" t="s">
        <v>23</v>
      </c>
      <c r="C147" t="s">
        <v>25</v>
      </c>
      <c r="D147">
        <v>20</v>
      </c>
      <c r="E147">
        <v>553.85</v>
      </c>
      <c r="F147" t="s">
        <v>32</v>
      </c>
      <c r="G147" t="s">
        <v>36</v>
      </c>
      <c r="H147">
        <v>0</v>
      </c>
      <c r="I147" t="s">
        <v>39</v>
      </c>
      <c r="J147">
        <v>11077</v>
      </c>
      <c r="K147" t="s">
        <v>47</v>
      </c>
      <c r="L147" t="s">
        <v>50</v>
      </c>
      <c r="M147">
        <v>0</v>
      </c>
      <c r="N147" t="s">
        <v>522</v>
      </c>
      <c r="O147" t="s">
        <v>2008</v>
      </c>
      <c r="P147">
        <v>33.21</v>
      </c>
      <c r="Q147" s="8">
        <v>44942</v>
      </c>
      <c r="R147" s="8">
        <v>44950</v>
      </c>
      <c r="S147" t="s">
        <v>2926</v>
      </c>
    </row>
    <row r="148" spans="1:19" x14ac:dyDescent="0.3">
      <c r="A148" s="8">
        <v>45659</v>
      </c>
      <c r="B148" t="s">
        <v>23</v>
      </c>
      <c r="C148" t="s">
        <v>24</v>
      </c>
      <c r="D148">
        <v>1</v>
      </c>
      <c r="E148">
        <v>374.33</v>
      </c>
      <c r="F148" t="s">
        <v>31</v>
      </c>
      <c r="G148" t="s">
        <v>35</v>
      </c>
      <c r="H148">
        <v>0</v>
      </c>
      <c r="I148" t="s">
        <v>40</v>
      </c>
      <c r="J148">
        <v>374.33</v>
      </c>
      <c r="K148" t="s">
        <v>45</v>
      </c>
      <c r="L148" t="s">
        <v>48</v>
      </c>
      <c r="M148">
        <v>0</v>
      </c>
      <c r="N148" t="s">
        <v>513</v>
      </c>
      <c r="O148" t="s">
        <v>2000</v>
      </c>
      <c r="P148">
        <v>33.31</v>
      </c>
      <c r="Q148" s="8">
        <v>45659</v>
      </c>
      <c r="R148" s="8">
        <v>45669</v>
      </c>
      <c r="S148" t="s">
        <v>2926</v>
      </c>
    </row>
    <row r="149" spans="1:19" x14ac:dyDescent="0.3">
      <c r="A149" s="8">
        <v>45292</v>
      </c>
      <c r="B149" t="s">
        <v>20</v>
      </c>
      <c r="C149" t="s">
        <v>26</v>
      </c>
      <c r="D149">
        <v>3</v>
      </c>
      <c r="E149">
        <v>599.41999999999996</v>
      </c>
      <c r="F149" t="s">
        <v>32</v>
      </c>
      <c r="G149" t="s">
        <v>35</v>
      </c>
      <c r="H149">
        <v>0.1</v>
      </c>
      <c r="I149" t="s">
        <v>42</v>
      </c>
      <c r="J149">
        <v>1618.434</v>
      </c>
      <c r="K149" t="s">
        <v>43</v>
      </c>
      <c r="L149" t="s">
        <v>49</v>
      </c>
      <c r="M149">
        <v>0</v>
      </c>
      <c r="N149" t="s">
        <v>512</v>
      </c>
      <c r="O149" t="s">
        <v>1999</v>
      </c>
      <c r="P149">
        <v>48.02</v>
      </c>
      <c r="Q149" s="8">
        <v>45292</v>
      </c>
      <c r="R149" s="8">
        <v>45294</v>
      </c>
      <c r="S149" t="s">
        <v>2923</v>
      </c>
    </row>
    <row r="150" spans="1:19" x14ac:dyDescent="0.3">
      <c r="A150" s="8">
        <v>45666</v>
      </c>
      <c r="B150" t="s">
        <v>19</v>
      </c>
      <c r="C150" t="s">
        <v>24</v>
      </c>
      <c r="D150">
        <v>12</v>
      </c>
      <c r="E150">
        <v>148.66</v>
      </c>
      <c r="F150" t="s">
        <v>32</v>
      </c>
      <c r="G150" t="s">
        <v>35</v>
      </c>
      <c r="H150">
        <v>0</v>
      </c>
      <c r="I150" t="s">
        <v>41</v>
      </c>
      <c r="J150">
        <v>1783.92</v>
      </c>
      <c r="K150" t="s">
        <v>43</v>
      </c>
      <c r="M150">
        <v>1</v>
      </c>
      <c r="N150" t="s">
        <v>499</v>
      </c>
      <c r="O150" t="s">
        <v>1988</v>
      </c>
      <c r="P150">
        <v>27.16</v>
      </c>
      <c r="Q150" s="8">
        <v>45666</v>
      </c>
      <c r="R150" s="8">
        <v>45674</v>
      </c>
      <c r="S150" t="s">
        <v>2922</v>
      </c>
    </row>
    <row r="151" spans="1:19" x14ac:dyDescent="0.3">
      <c r="A151" s="8">
        <v>45319</v>
      </c>
      <c r="B151" t="s">
        <v>23</v>
      </c>
      <c r="C151" t="s">
        <v>30</v>
      </c>
      <c r="D151">
        <v>20</v>
      </c>
      <c r="E151">
        <v>424.7</v>
      </c>
      <c r="F151" t="s">
        <v>31</v>
      </c>
      <c r="G151" t="s">
        <v>35</v>
      </c>
      <c r="H151">
        <v>0.15</v>
      </c>
      <c r="I151" t="s">
        <v>42</v>
      </c>
      <c r="J151">
        <v>7219.9</v>
      </c>
      <c r="K151" t="s">
        <v>43</v>
      </c>
      <c r="L151" t="s">
        <v>48</v>
      </c>
      <c r="M151">
        <v>0</v>
      </c>
      <c r="N151" t="s">
        <v>497</v>
      </c>
      <c r="O151" t="s">
        <v>1986</v>
      </c>
      <c r="P151">
        <v>42.03</v>
      </c>
      <c r="Q151" s="8">
        <v>45319</v>
      </c>
      <c r="R151" s="8">
        <v>45327</v>
      </c>
      <c r="S151" t="s">
        <v>2926</v>
      </c>
    </row>
    <row r="152" spans="1:19" x14ac:dyDescent="0.3">
      <c r="A152" s="8">
        <v>45681</v>
      </c>
      <c r="B152" t="s">
        <v>22</v>
      </c>
      <c r="C152" t="s">
        <v>28</v>
      </c>
      <c r="D152">
        <v>6</v>
      </c>
      <c r="E152">
        <v>175.3</v>
      </c>
      <c r="F152" t="s">
        <v>32</v>
      </c>
      <c r="G152" t="s">
        <v>35</v>
      </c>
      <c r="H152">
        <v>0.15</v>
      </c>
      <c r="I152" t="s">
        <v>38</v>
      </c>
      <c r="J152">
        <v>894.03000000000009</v>
      </c>
      <c r="K152" t="s">
        <v>47</v>
      </c>
      <c r="L152" t="s">
        <v>49</v>
      </c>
      <c r="M152">
        <v>1</v>
      </c>
      <c r="N152" t="s">
        <v>483</v>
      </c>
      <c r="O152" t="s">
        <v>1972</v>
      </c>
      <c r="P152">
        <v>17.920000000000002</v>
      </c>
      <c r="Q152" s="8">
        <v>45681</v>
      </c>
      <c r="R152" s="8">
        <v>45686</v>
      </c>
      <c r="S152" t="s">
        <v>2925</v>
      </c>
    </row>
    <row r="153" spans="1:19" x14ac:dyDescent="0.3">
      <c r="A153" s="8">
        <v>45296</v>
      </c>
      <c r="B153" t="s">
        <v>22</v>
      </c>
      <c r="C153" t="s">
        <v>27</v>
      </c>
      <c r="D153">
        <v>17</v>
      </c>
      <c r="E153">
        <v>241.01</v>
      </c>
      <c r="F153" t="s">
        <v>32</v>
      </c>
      <c r="G153" t="s">
        <v>36</v>
      </c>
      <c r="H153">
        <v>0.1</v>
      </c>
      <c r="I153" t="s">
        <v>42</v>
      </c>
      <c r="J153">
        <v>3687.453</v>
      </c>
      <c r="K153" t="s">
        <v>46</v>
      </c>
      <c r="L153" t="s">
        <v>50</v>
      </c>
      <c r="M153">
        <v>0</v>
      </c>
      <c r="N153" t="s">
        <v>467</v>
      </c>
      <c r="O153" t="s">
        <v>1956</v>
      </c>
      <c r="P153">
        <v>24.69</v>
      </c>
      <c r="Q153" s="8">
        <v>45296</v>
      </c>
      <c r="R153" s="8">
        <v>45302</v>
      </c>
      <c r="S153" t="s">
        <v>2925</v>
      </c>
    </row>
    <row r="154" spans="1:19" x14ac:dyDescent="0.3">
      <c r="A154" s="8">
        <v>45677</v>
      </c>
      <c r="B154" t="s">
        <v>21</v>
      </c>
      <c r="C154" t="s">
        <v>28</v>
      </c>
      <c r="D154">
        <v>3</v>
      </c>
      <c r="E154">
        <v>386.29</v>
      </c>
      <c r="F154" t="s">
        <v>33</v>
      </c>
      <c r="G154" t="s">
        <v>36</v>
      </c>
      <c r="H154">
        <v>0.15</v>
      </c>
      <c r="I154" t="s">
        <v>40</v>
      </c>
      <c r="J154">
        <v>985.03950000000009</v>
      </c>
      <c r="K154" t="s">
        <v>45</v>
      </c>
      <c r="L154" t="s">
        <v>48</v>
      </c>
      <c r="M154">
        <v>0</v>
      </c>
      <c r="N154" t="s">
        <v>201</v>
      </c>
      <c r="O154" t="s">
        <v>1701</v>
      </c>
      <c r="P154">
        <v>32.450000000000003</v>
      </c>
      <c r="Q154" s="8">
        <v>45677</v>
      </c>
      <c r="R154" s="8">
        <v>45687</v>
      </c>
      <c r="S154" t="s">
        <v>2924</v>
      </c>
    </row>
    <row r="155" spans="1:19" x14ac:dyDescent="0.3">
      <c r="A155" s="8">
        <v>44939</v>
      </c>
      <c r="B155" t="s">
        <v>19</v>
      </c>
      <c r="C155" t="s">
        <v>24</v>
      </c>
      <c r="D155">
        <v>9</v>
      </c>
      <c r="E155">
        <v>223.01</v>
      </c>
      <c r="F155" t="s">
        <v>33</v>
      </c>
      <c r="G155" t="s">
        <v>36</v>
      </c>
      <c r="H155">
        <v>0</v>
      </c>
      <c r="I155" t="s">
        <v>41</v>
      </c>
      <c r="J155">
        <v>2007.09</v>
      </c>
      <c r="K155" t="s">
        <v>47</v>
      </c>
      <c r="M155">
        <v>1</v>
      </c>
      <c r="N155" t="s">
        <v>447</v>
      </c>
      <c r="O155" t="s">
        <v>1938</v>
      </c>
      <c r="P155">
        <v>11.9</v>
      </c>
      <c r="Q155" s="8">
        <v>44939</v>
      </c>
      <c r="R155" s="8">
        <v>44945</v>
      </c>
      <c r="S155" t="s">
        <v>2922</v>
      </c>
    </row>
    <row r="156" spans="1:19" x14ac:dyDescent="0.3">
      <c r="A156" s="8">
        <v>45664</v>
      </c>
      <c r="B156" t="s">
        <v>22</v>
      </c>
      <c r="C156" t="s">
        <v>25</v>
      </c>
      <c r="D156">
        <v>13</v>
      </c>
      <c r="E156">
        <v>186.69</v>
      </c>
      <c r="F156" t="s">
        <v>34</v>
      </c>
      <c r="G156" t="s">
        <v>35</v>
      </c>
      <c r="H156">
        <v>0</v>
      </c>
      <c r="I156" t="s">
        <v>42</v>
      </c>
      <c r="J156">
        <v>2426.9699999999998</v>
      </c>
      <c r="K156" t="s">
        <v>47</v>
      </c>
      <c r="L156" t="s">
        <v>48</v>
      </c>
      <c r="M156">
        <v>0</v>
      </c>
      <c r="N156" t="s">
        <v>439</v>
      </c>
      <c r="O156" t="s">
        <v>1930</v>
      </c>
      <c r="P156">
        <v>19.920000000000002</v>
      </c>
      <c r="Q156" s="8">
        <v>45664</v>
      </c>
      <c r="R156" s="8">
        <v>45667</v>
      </c>
      <c r="S156" t="s">
        <v>2925</v>
      </c>
    </row>
    <row r="157" spans="1:19" x14ac:dyDescent="0.3">
      <c r="A157" s="8">
        <v>45665</v>
      </c>
      <c r="B157" t="s">
        <v>22</v>
      </c>
      <c r="C157" t="s">
        <v>27</v>
      </c>
      <c r="D157">
        <v>4</v>
      </c>
      <c r="E157">
        <v>353.7</v>
      </c>
      <c r="F157" t="s">
        <v>32</v>
      </c>
      <c r="G157" t="s">
        <v>35</v>
      </c>
      <c r="H157">
        <v>0</v>
      </c>
      <c r="I157" t="s">
        <v>39</v>
      </c>
      <c r="J157">
        <v>1414.8</v>
      </c>
      <c r="K157" t="s">
        <v>45</v>
      </c>
      <c r="L157" t="s">
        <v>48</v>
      </c>
      <c r="M157">
        <v>0</v>
      </c>
      <c r="N157" t="s">
        <v>420</v>
      </c>
      <c r="O157" t="s">
        <v>1912</v>
      </c>
      <c r="P157">
        <v>41.98</v>
      </c>
      <c r="Q157" s="8">
        <v>45665</v>
      </c>
      <c r="R157" s="8">
        <v>45669</v>
      </c>
      <c r="S157" t="s">
        <v>2925</v>
      </c>
    </row>
    <row r="158" spans="1:19" x14ac:dyDescent="0.3">
      <c r="A158" s="8">
        <v>45320</v>
      </c>
      <c r="B158" t="s">
        <v>22</v>
      </c>
      <c r="C158" t="s">
        <v>30</v>
      </c>
      <c r="D158">
        <v>16</v>
      </c>
      <c r="E158">
        <v>598.48</v>
      </c>
      <c r="F158" t="s">
        <v>32</v>
      </c>
      <c r="G158" t="s">
        <v>36</v>
      </c>
      <c r="H158">
        <v>0.1</v>
      </c>
      <c r="I158" t="s">
        <v>39</v>
      </c>
      <c r="J158">
        <v>8618.112000000001</v>
      </c>
      <c r="K158" t="s">
        <v>47</v>
      </c>
      <c r="M158">
        <v>0</v>
      </c>
      <c r="N158" t="s">
        <v>392</v>
      </c>
      <c r="O158" t="s">
        <v>1885</v>
      </c>
      <c r="P158">
        <v>47.86</v>
      </c>
      <c r="Q158" s="8">
        <v>45320</v>
      </c>
      <c r="R158" s="8">
        <v>45329</v>
      </c>
      <c r="S158" t="s">
        <v>2925</v>
      </c>
    </row>
    <row r="159" spans="1:19" x14ac:dyDescent="0.3">
      <c r="A159" s="8">
        <v>45319</v>
      </c>
      <c r="B159" t="s">
        <v>20</v>
      </c>
      <c r="C159" t="s">
        <v>29</v>
      </c>
      <c r="D159">
        <v>9</v>
      </c>
      <c r="E159">
        <v>434.74</v>
      </c>
      <c r="F159" t="s">
        <v>34</v>
      </c>
      <c r="G159" t="s">
        <v>35</v>
      </c>
      <c r="H159">
        <v>0.1</v>
      </c>
      <c r="I159" t="s">
        <v>42</v>
      </c>
      <c r="J159">
        <v>3521.3939999999998</v>
      </c>
      <c r="K159" t="s">
        <v>43</v>
      </c>
      <c r="L159" t="s">
        <v>49</v>
      </c>
      <c r="M159">
        <v>0</v>
      </c>
      <c r="N159" t="s">
        <v>380</v>
      </c>
      <c r="O159" t="s">
        <v>1874</v>
      </c>
      <c r="P159">
        <v>20.11</v>
      </c>
      <c r="Q159" s="8">
        <v>45319</v>
      </c>
      <c r="R159" s="8">
        <v>45322</v>
      </c>
      <c r="S159" t="s">
        <v>2923</v>
      </c>
    </row>
    <row r="160" spans="1:19" x14ac:dyDescent="0.3">
      <c r="A160" s="8">
        <v>44937</v>
      </c>
      <c r="B160" t="s">
        <v>20</v>
      </c>
      <c r="C160" t="s">
        <v>29</v>
      </c>
      <c r="D160">
        <v>9</v>
      </c>
      <c r="E160">
        <v>15.58</v>
      </c>
      <c r="F160" t="s">
        <v>34</v>
      </c>
      <c r="G160" t="s">
        <v>36</v>
      </c>
      <c r="H160">
        <v>0.1</v>
      </c>
      <c r="I160" t="s">
        <v>39</v>
      </c>
      <c r="J160">
        <v>126.19799999999999</v>
      </c>
      <c r="K160" t="s">
        <v>44</v>
      </c>
      <c r="L160" t="s">
        <v>48</v>
      </c>
      <c r="M160">
        <v>1</v>
      </c>
      <c r="N160" t="s">
        <v>359</v>
      </c>
      <c r="O160" t="s">
        <v>1853</v>
      </c>
      <c r="P160">
        <v>27.81</v>
      </c>
      <c r="Q160" s="8">
        <v>44937</v>
      </c>
      <c r="R160" s="8">
        <v>44945</v>
      </c>
      <c r="S160" t="s">
        <v>2923</v>
      </c>
    </row>
    <row r="161" spans="1:19" x14ac:dyDescent="0.3">
      <c r="A161" s="8">
        <v>45316</v>
      </c>
      <c r="B161" t="s">
        <v>23</v>
      </c>
      <c r="C161" t="s">
        <v>24</v>
      </c>
      <c r="D161">
        <v>13</v>
      </c>
      <c r="E161">
        <v>453.48</v>
      </c>
      <c r="F161" t="s">
        <v>32</v>
      </c>
      <c r="G161" t="s">
        <v>35</v>
      </c>
      <c r="H161">
        <v>0.05</v>
      </c>
      <c r="I161" t="s">
        <v>38</v>
      </c>
      <c r="J161">
        <v>5600.4779999999992</v>
      </c>
      <c r="K161" t="s">
        <v>44</v>
      </c>
      <c r="L161" t="s">
        <v>49</v>
      </c>
      <c r="M161">
        <v>0</v>
      </c>
      <c r="N161" t="s">
        <v>355</v>
      </c>
      <c r="O161" t="s">
        <v>1849</v>
      </c>
      <c r="P161">
        <v>46.28</v>
      </c>
      <c r="Q161" s="8">
        <v>45316</v>
      </c>
      <c r="R161" s="8">
        <v>45325</v>
      </c>
      <c r="S161" t="s">
        <v>2926</v>
      </c>
    </row>
    <row r="162" spans="1:19" x14ac:dyDescent="0.3">
      <c r="A162" s="8">
        <v>45687</v>
      </c>
      <c r="B162" t="s">
        <v>21</v>
      </c>
      <c r="C162" t="s">
        <v>27</v>
      </c>
      <c r="D162">
        <v>16</v>
      </c>
      <c r="E162">
        <v>345.53</v>
      </c>
      <c r="F162" t="s">
        <v>33</v>
      </c>
      <c r="G162" t="s">
        <v>36</v>
      </c>
      <c r="H162">
        <v>0.15</v>
      </c>
      <c r="I162" t="s">
        <v>39</v>
      </c>
      <c r="J162">
        <v>4699.2079999999996</v>
      </c>
      <c r="K162" t="s">
        <v>44</v>
      </c>
      <c r="L162" t="s">
        <v>49</v>
      </c>
      <c r="M162">
        <v>0</v>
      </c>
      <c r="N162" t="s">
        <v>354</v>
      </c>
      <c r="O162" t="s">
        <v>1848</v>
      </c>
      <c r="P162">
        <v>13.43</v>
      </c>
      <c r="Q162" s="8">
        <v>45687</v>
      </c>
      <c r="R162" s="8">
        <v>45693</v>
      </c>
      <c r="S162" t="s">
        <v>2924</v>
      </c>
    </row>
    <row r="163" spans="1:19" x14ac:dyDescent="0.3">
      <c r="A163" s="8">
        <v>44937</v>
      </c>
      <c r="B163" t="s">
        <v>19</v>
      </c>
      <c r="C163" t="s">
        <v>29</v>
      </c>
      <c r="D163">
        <v>12</v>
      </c>
      <c r="E163">
        <v>521.53</v>
      </c>
      <c r="F163" t="s">
        <v>34</v>
      </c>
      <c r="G163" t="s">
        <v>36</v>
      </c>
      <c r="H163">
        <v>0</v>
      </c>
      <c r="I163" t="s">
        <v>37</v>
      </c>
      <c r="J163">
        <v>6258.36</v>
      </c>
      <c r="K163" t="s">
        <v>45</v>
      </c>
      <c r="L163" t="s">
        <v>49</v>
      </c>
      <c r="M163">
        <v>1</v>
      </c>
      <c r="N163" t="s">
        <v>343</v>
      </c>
      <c r="O163" t="s">
        <v>1837</v>
      </c>
      <c r="P163">
        <v>49.59</v>
      </c>
      <c r="Q163" s="8">
        <v>44937</v>
      </c>
      <c r="R163" s="8">
        <v>44946</v>
      </c>
      <c r="S163" t="s">
        <v>2922</v>
      </c>
    </row>
    <row r="164" spans="1:19" x14ac:dyDescent="0.3">
      <c r="A164" s="8">
        <v>45680</v>
      </c>
      <c r="B164" t="s">
        <v>23</v>
      </c>
      <c r="C164" t="s">
        <v>24</v>
      </c>
      <c r="D164">
        <v>6</v>
      </c>
      <c r="E164">
        <v>532.54</v>
      </c>
      <c r="F164" t="s">
        <v>32</v>
      </c>
      <c r="G164" t="s">
        <v>35</v>
      </c>
      <c r="H164">
        <v>0</v>
      </c>
      <c r="I164" t="s">
        <v>41</v>
      </c>
      <c r="J164">
        <v>3195.24</v>
      </c>
      <c r="K164" t="s">
        <v>46</v>
      </c>
      <c r="M164">
        <v>1</v>
      </c>
      <c r="N164" t="s">
        <v>337</v>
      </c>
      <c r="O164" t="s">
        <v>1831</v>
      </c>
      <c r="P164">
        <v>25.09</v>
      </c>
      <c r="Q164" s="8">
        <v>45680</v>
      </c>
      <c r="R164" s="8">
        <v>45690</v>
      </c>
      <c r="S164" t="s">
        <v>2926</v>
      </c>
    </row>
    <row r="165" spans="1:19" x14ac:dyDescent="0.3">
      <c r="A165" s="8">
        <v>45681</v>
      </c>
      <c r="B165" t="s">
        <v>21</v>
      </c>
      <c r="C165" t="s">
        <v>26</v>
      </c>
      <c r="D165">
        <v>16</v>
      </c>
      <c r="E165">
        <v>60.69</v>
      </c>
      <c r="F165" t="s">
        <v>32</v>
      </c>
      <c r="G165" t="s">
        <v>35</v>
      </c>
      <c r="H165">
        <v>0</v>
      </c>
      <c r="I165" t="s">
        <v>40</v>
      </c>
      <c r="J165">
        <v>971.04</v>
      </c>
      <c r="K165" t="s">
        <v>45</v>
      </c>
      <c r="L165" t="s">
        <v>50</v>
      </c>
      <c r="M165">
        <v>0</v>
      </c>
      <c r="N165" t="s">
        <v>329</v>
      </c>
      <c r="O165" t="s">
        <v>1824</v>
      </c>
      <c r="P165">
        <v>7.03</v>
      </c>
      <c r="Q165" s="8">
        <v>45681</v>
      </c>
      <c r="R165" s="8">
        <v>45684</v>
      </c>
      <c r="S165" t="s">
        <v>2924</v>
      </c>
    </row>
    <row r="166" spans="1:19" x14ac:dyDescent="0.3">
      <c r="A166" s="8">
        <v>45314</v>
      </c>
      <c r="B166" t="s">
        <v>23</v>
      </c>
      <c r="C166" t="s">
        <v>26</v>
      </c>
      <c r="D166">
        <v>15</v>
      </c>
      <c r="E166">
        <v>579.58000000000004</v>
      </c>
      <c r="F166" t="s">
        <v>33</v>
      </c>
      <c r="G166" t="s">
        <v>36</v>
      </c>
      <c r="H166">
        <v>0.15</v>
      </c>
      <c r="I166" t="s">
        <v>37</v>
      </c>
      <c r="J166">
        <v>7389.6450000000004</v>
      </c>
      <c r="K166" t="s">
        <v>45</v>
      </c>
      <c r="M166">
        <v>0</v>
      </c>
      <c r="N166" t="s">
        <v>322</v>
      </c>
      <c r="O166" t="s">
        <v>1817</v>
      </c>
      <c r="P166">
        <v>31.22</v>
      </c>
      <c r="Q166" s="8">
        <v>45314</v>
      </c>
      <c r="R166" s="8">
        <v>45322</v>
      </c>
      <c r="S166" t="s">
        <v>2926</v>
      </c>
    </row>
    <row r="167" spans="1:19" x14ac:dyDescent="0.3">
      <c r="A167" s="8">
        <v>44951</v>
      </c>
      <c r="B167" t="s">
        <v>23</v>
      </c>
      <c r="C167" t="s">
        <v>26</v>
      </c>
      <c r="D167">
        <v>6</v>
      </c>
      <c r="E167">
        <v>134.53</v>
      </c>
      <c r="F167" t="s">
        <v>33</v>
      </c>
      <c r="G167" t="s">
        <v>36</v>
      </c>
      <c r="H167">
        <v>0.15</v>
      </c>
      <c r="I167" t="s">
        <v>40</v>
      </c>
      <c r="J167">
        <v>686.10300000000007</v>
      </c>
      <c r="K167" t="s">
        <v>46</v>
      </c>
      <c r="L167" t="s">
        <v>48</v>
      </c>
      <c r="M167">
        <v>1</v>
      </c>
      <c r="N167" t="s">
        <v>317</v>
      </c>
      <c r="O167" t="s">
        <v>1813</v>
      </c>
      <c r="P167">
        <v>33.5</v>
      </c>
      <c r="Q167" s="8">
        <v>44951</v>
      </c>
      <c r="R167" s="8">
        <v>44955</v>
      </c>
      <c r="S167" t="s">
        <v>2926</v>
      </c>
    </row>
    <row r="168" spans="1:19" x14ac:dyDescent="0.3">
      <c r="A168" s="8">
        <v>45321</v>
      </c>
      <c r="B168" t="s">
        <v>21</v>
      </c>
      <c r="C168" t="s">
        <v>28</v>
      </c>
      <c r="D168">
        <v>11</v>
      </c>
      <c r="E168">
        <v>118.8</v>
      </c>
      <c r="F168" t="s">
        <v>32</v>
      </c>
      <c r="G168" t="s">
        <v>36</v>
      </c>
      <c r="H168">
        <v>0.05</v>
      </c>
      <c r="I168" t="s">
        <v>37</v>
      </c>
      <c r="J168">
        <v>1241.46</v>
      </c>
      <c r="K168" t="s">
        <v>43</v>
      </c>
      <c r="L168" t="s">
        <v>49</v>
      </c>
      <c r="M168">
        <v>0</v>
      </c>
      <c r="N168" t="s">
        <v>215</v>
      </c>
      <c r="O168" t="s">
        <v>1714</v>
      </c>
      <c r="P168">
        <v>39.32</v>
      </c>
      <c r="Q168" s="8">
        <v>45321</v>
      </c>
      <c r="R168" s="8">
        <v>45328</v>
      </c>
      <c r="S168" t="s">
        <v>2924</v>
      </c>
    </row>
    <row r="169" spans="1:19" x14ac:dyDescent="0.3">
      <c r="A169" s="8">
        <v>45314</v>
      </c>
      <c r="B169" t="s">
        <v>19</v>
      </c>
      <c r="C169" t="s">
        <v>29</v>
      </c>
      <c r="D169">
        <v>10</v>
      </c>
      <c r="E169">
        <v>92.45</v>
      </c>
      <c r="F169" t="s">
        <v>33</v>
      </c>
      <c r="G169" t="s">
        <v>35</v>
      </c>
      <c r="H169">
        <v>0.1</v>
      </c>
      <c r="I169" t="s">
        <v>39</v>
      </c>
      <c r="J169">
        <v>832.05000000000007</v>
      </c>
      <c r="K169" t="s">
        <v>47</v>
      </c>
      <c r="L169" t="s">
        <v>50</v>
      </c>
      <c r="M169">
        <v>1</v>
      </c>
      <c r="N169" t="s">
        <v>216</v>
      </c>
      <c r="O169" t="s">
        <v>1715</v>
      </c>
      <c r="P169">
        <v>42.61</v>
      </c>
      <c r="Q169" s="8">
        <v>45314</v>
      </c>
      <c r="R169" s="8">
        <v>45320</v>
      </c>
      <c r="S169" t="s">
        <v>2922</v>
      </c>
    </row>
    <row r="170" spans="1:19" x14ac:dyDescent="0.3">
      <c r="A170" s="8">
        <v>44931</v>
      </c>
      <c r="B170" t="s">
        <v>21</v>
      </c>
      <c r="C170" t="s">
        <v>24</v>
      </c>
      <c r="D170">
        <v>19</v>
      </c>
      <c r="E170">
        <v>463.51</v>
      </c>
      <c r="F170" t="s">
        <v>31</v>
      </c>
      <c r="G170" t="s">
        <v>36</v>
      </c>
      <c r="H170">
        <v>0</v>
      </c>
      <c r="I170" t="s">
        <v>42</v>
      </c>
      <c r="J170">
        <v>8806.69</v>
      </c>
      <c r="K170" t="s">
        <v>47</v>
      </c>
      <c r="L170" t="s">
        <v>48</v>
      </c>
      <c r="M170">
        <v>0</v>
      </c>
      <c r="N170" t="s">
        <v>217</v>
      </c>
      <c r="O170" t="s">
        <v>1716</v>
      </c>
      <c r="P170">
        <v>49.38</v>
      </c>
      <c r="Q170" s="8">
        <v>44931</v>
      </c>
      <c r="R170" s="8">
        <v>44934</v>
      </c>
      <c r="S170" t="s">
        <v>2924</v>
      </c>
    </row>
    <row r="171" spans="1:19" x14ac:dyDescent="0.3">
      <c r="A171" s="8">
        <v>44948</v>
      </c>
      <c r="B171" t="s">
        <v>23</v>
      </c>
      <c r="C171" t="s">
        <v>25</v>
      </c>
      <c r="D171">
        <v>13</v>
      </c>
      <c r="E171">
        <v>140.49</v>
      </c>
      <c r="F171" t="s">
        <v>32</v>
      </c>
      <c r="G171" t="s">
        <v>36</v>
      </c>
      <c r="H171">
        <v>0</v>
      </c>
      <c r="I171" t="s">
        <v>37</v>
      </c>
      <c r="J171">
        <v>1826.37</v>
      </c>
      <c r="K171" t="s">
        <v>46</v>
      </c>
      <c r="L171" t="s">
        <v>49</v>
      </c>
      <c r="M171">
        <v>0</v>
      </c>
      <c r="N171" t="s">
        <v>314</v>
      </c>
      <c r="O171" t="s">
        <v>1810</v>
      </c>
      <c r="P171">
        <v>17.690000000000001</v>
      </c>
      <c r="Q171" s="8">
        <v>44948</v>
      </c>
      <c r="R171" s="8">
        <v>44957</v>
      </c>
      <c r="S171" t="s">
        <v>2926</v>
      </c>
    </row>
    <row r="172" spans="1:19" x14ac:dyDescent="0.3">
      <c r="A172" s="8">
        <v>45292</v>
      </c>
      <c r="B172" t="s">
        <v>20</v>
      </c>
      <c r="C172" t="s">
        <v>28</v>
      </c>
      <c r="D172">
        <v>7</v>
      </c>
      <c r="E172">
        <v>208.86</v>
      </c>
      <c r="F172" t="s">
        <v>31</v>
      </c>
      <c r="G172" t="s">
        <v>36</v>
      </c>
      <c r="H172">
        <v>0</v>
      </c>
      <c r="I172" t="s">
        <v>39</v>
      </c>
      <c r="J172">
        <v>1462.02</v>
      </c>
      <c r="K172" t="s">
        <v>47</v>
      </c>
      <c r="L172" t="s">
        <v>48</v>
      </c>
      <c r="M172">
        <v>0</v>
      </c>
      <c r="N172" t="s">
        <v>308</v>
      </c>
      <c r="O172" t="s">
        <v>1804</v>
      </c>
      <c r="P172">
        <v>20.64</v>
      </c>
      <c r="Q172" s="8">
        <v>45292</v>
      </c>
      <c r="R172" s="8">
        <v>45299</v>
      </c>
      <c r="S172" t="s">
        <v>2923</v>
      </c>
    </row>
    <row r="173" spans="1:19" x14ac:dyDescent="0.3">
      <c r="A173" s="8">
        <v>44937</v>
      </c>
      <c r="B173" t="s">
        <v>21</v>
      </c>
      <c r="C173" t="s">
        <v>26</v>
      </c>
      <c r="D173">
        <v>6</v>
      </c>
      <c r="E173">
        <v>202.57</v>
      </c>
      <c r="F173" t="s">
        <v>34</v>
      </c>
      <c r="G173" t="s">
        <v>36</v>
      </c>
      <c r="H173">
        <v>0.05</v>
      </c>
      <c r="I173" t="s">
        <v>37</v>
      </c>
      <c r="J173">
        <v>1154.6489999999999</v>
      </c>
      <c r="K173" t="s">
        <v>44</v>
      </c>
      <c r="L173" t="s">
        <v>48</v>
      </c>
      <c r="M173">
        <v>0</v>
      </c>
      <c r="N173" t="s">
        <v>300</v>
      </c>
      <c r="O173" t="s">
        <v>1796</v>
      </c>
      <c r="P173">
        <v>24.39</v>
      </c>
      <c r="Q173" s="8">
        <v>44937</v>
      </c>
      <c r="R173" s="8">
        <v>44940</v>
      </c>
      <c r="S173" t="s">
        <v>2924</v>
      </c>
    </row>
    <row r="174" spans="1:19" x14ac:dyDescent="0.3">
      <c r="A174" s="8">
        <v>45675</v>
      </c>
      <c r="B174" t="s">
        <v>21</v>
      </c>
      <c r="C174" t="s">
        <v>29</v>
      </c>
      <c r="D174">
        <v>1</v>
      </c>
      <c r="E174">
        <v>411.54</v>
      </c>
      <c r="F174" t="s">
        <v>33</v>
      </c>
      <c r="G174" t="s">
        <v>36</v>
      </c>
      <c r="H174">
        <v>0.1</v>
      </c>
      <c r="I174" t="s">
        <v>37</v>
      </c>
      <c r="J174">
        <v>370.38600000000002</v>
      </c>
      <c r="K174" t="s">
        <v>44</v>
      </c>
      <c r="L174" t="s">
        <v>50</v>
      </c>
      <c r="M174">
        <v>0</v>
      </c>
      <c r="N174" t="s">
        <v>293</v>
      </c>
      <c r="O174" t="s">
        <v>1791</v>
      </c>
      <c r="P174">
        <v>7.46</v>
      </c>
      <c r="Q174" s="8">
        <v>45675</v>
      </c>
      <c r="R174" s="8">
        <v>45677</v>
      </c>
      <c r="S174" t="s">
        <v>2924</v>
      </c>
    </row>
    <row r="175" spans="1:19" x14ac:dyDescent="0.3">
      <c r="A175" s="8">
        <v>45294</v>
      </c>
      <c r="B175" t="s">
        <v>23</v>
      </c>
      <c r="C175" t="s">
        <v>29</v>
      </c>
      <c r="D175">
        <v>12</v>
      </c>
      <c r="E175">
        <v>164.31</v>
      </c>
      <c r="F175" t="s">
        <v>31</v>
      </c>
      <c r="G175" t="s">
        <v>35</v>
      </c>
      <c r="H175">
        <v>0.1</v>
      </c>
      <c r="I175" t="s">
        <v>37</v>
      </c>
      <c r="J175">
        <v>1774.548</v>
      </c>
      <c r="K175" t="s">
        <v>47</v>
      </c>
      <c r="M175">
        <v>1</v>
      </c>
      <c r="N175" t="s">
        <v>222</v>
      </c>
      <c r="O175" t="s">
        <v>1721</v>
      </c>
      <c r="P175">
        <v>38.9</v>
      </c>
      <c r="Q175" s="8">
        <v>45294</v>
      </c>
      <c r="R175" s="8">
        <v>45298</v>
      </c>
      <c r="S175" t="s">
        <v>2926</v>
      </c>
    </row>
    <row r="176" spans="1:19" x14ac:dyDescent="0.3">
      <c r="A176" s="8">
        <v>44927</v>
      </c>
      <c r="B176" t="s">
        <v>22</v>
      </c>
      <c r="C176" t="s">
        <v>27</v>
      </c>
      <c r="D176">
        <v>11</v>
      </c>
      <c r="E176">
        <v>468.22</v>
      </c>
      <c r="F176" t="s">
        <v>34</v>
      </c>
      <c r="G176" t="s">
        <v>36</v>
      </c>
      <c r="H176">
        <v>0</v>
      </c>
      <c r="I176" t="s">
        <v>40</v>
      </c>
      <c r="J176">
        <v>5150.42</v>
      </c>
      <c r="K176" t="s">
        <v>46</v>
      </c>
      <c r="L176" t="s">
        <v>50</v>
      </c>
      <c r="M176">
        <v>0</v>
      </c>
      <c r="N176" t="s">
        <v>292</v>
      </c>
      <c r="O176" t="s">
        <v>1790</v>
      </c>
      <c r="P176">
        <v>19.920000000000002</v>
      </c>
      <c r="Q176" s="8">
        <v>44927</v>
      </c>
      <c r="R176" s="8">
        <v>44937</v>
      </c>
      <c r="S176" t="s">
        <v>2925</v>
      </c>
    </row>
    <row r="177" spans="1:19" x14ac:dyDescent="0.3">
      <c r="A177" s="8">
        <v>44950</v>
      </c>
      <c r="B177" t="s">
        <v>23</v>
      </c>
      <c r="C177" t="s">
        <v>25</v>
      </c>
      <c r="D177">
        <v>10</v>
      </c>
      <c r="E177">
        <v>266.13</v>
      </c>
      <c r="F177" t="s">
        <v>31</v>
      </c>
      <c r="G177" t="s">
        <v>35</v>
      </c>
      <c r="H177">
        <v>0</v>
      </c>
      <c r="I177" t="s">
        <v>41</v>
      </c>
      <c r="J177">
        <v>2661.3</v>
      </c>
      <c r="K177" t="s">
        <v>44</v>
      </c>
      <c r="L177" t="s">
        <v>50</v>
      </c>
      <c r="M177">
        <v>0</v>
      </c>
      <c r="N177" t="s">
        <v>271</v>
      </c>
      <c r="O177" t="s">
        <v>1769</v>
      </c>
      <c r="P177">
        <v>21.01</v>
      </c>
      <c r="Q177" s="8">
        <v>44950</v>
      </c>
      <c r="R177" s="8">
        <v>44952</v>
      </c>
      <c r="S177" t="s">
        <v>2926</v>
      </c>
    </row>
    <row r="178" spans="1:19" x14ac:dyDescent="0.3">
      <c r="A178" s="8">
        <v>45680</v>
      </c>
      <c r="B178" t="s">
        <v>21</v>
      </c>
      <c r="C178" t="s">
        <v>27</v>
      </c>
      <c r="D178">
        <v>16</v>
      </c>
      <c r="E178">
        <v>562.52</v>
      </c>
      <c r="F178" t="s">
        <v>34</v>
      </c>
      <c r="G178" t="s">
        <v>36</v>
      </c>
      <c r="H178">
        <v>0</v>
      </c>
      <c r="I178" t="s">
        <v>39</v>
      </c>
      <c r="J178">
        <v>9000.32</v>
      </c>
      <c r="K178" t="s">
        <v>44</v>
      </c>
      <c r="M178">
        <v>0</v>
      </c>
      <c r="N178" t="s">
        <v>266</v>
      </c>
      <c r="O178" t="s">
        <v>1764</v>
      </c>
      <c r="P178">
        <v>18.23</v>
      </c>
      <c r="Q178" s="8">
        <v>45680</v>
      </c>
      <c r="R178" s="8">
        <v>45684</v>
      </c>
      <c r="S178" t="s">
        <v>2924</v>
      </c>
    </row>
    <row r="179" spans="1:19" x14ac:dyDescent="0.3">
      <c r="A179" s="8">
        <v>45674</v>
      </c>
      <c r="B179" t="s">
        <v>22</v>
      </c>
      <c r="C179" t="s">
        <v>29</v>
      </c>
      <c r="D179">
        <v>18</v>
      </c>
      <c r="E179">
        <v>124.18</v>
      </c>
      <c r="F179" t="s">
        <v>31</v>
      </c>
      <c r="G179" t="s">
        <v>35</v>
      </c>
      <c r="H179">
        <v>0.15</v>
      </c>
      <c r="I179" t="s">
        <v>40</v>
      </c>
      <c r="J179">
        <v>1899.954</v>
      </c>
      <c r="K179" t="s">
        <v>46</v>
      </c>
      <c r="L179" t="s">
        <v>49</v>
      </c>
      <c r="M179">
        <v>0</v>
      </c>
      <c r="N179" t="s">
        <v>245</v>
      </c>
      <c r="O179" t="s">
        <v>1744</v>
      </c>
      <c r="P179">
        <v>45.77</v>
      </c>
      <c r="Q179" s="8">
        <v>45674</v>
      </c>
      <c r="R179" s="8">
        <v>45683</v>
      </c>
      <c r="S179" t="s">
        <v>2925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F521-B8A0-4B37-A06E-A6F3F6998808}">
  <dimension ref="A3:B9"/>
  <sheetViews>
    <sheetView workbookViewId="0">
      <selection activeCell="G3" sqref="G3"/>
    </sheetView>
  </sheetViews>
  <sheetFormatPr defaultRowHeight="14.4" x14ac:dyDescent="0.3"/>
  <cols>
    <col min="1" max="1" width="12.5546875" bestFit="1" customWidth="1"/>
    <col min="2" max="2" width="15.88671875" bestFit="1" customWidth="1"/>
  </cols>
  <sheetData>
    <row r="3" spans="1:2" x14ac:dyDescent="0.3">
      <c r="A3" s="3" t="s">
        <v>2927</v>
      </c>
      <c r="B3" t="s">
        <v>2941</v>
      </c>
    </row>
    <row r="4" spans="1:2" x14ac:dyDescent="0.3">
      <c r="A4" s="4" t="s">
        <v>47</v>
      </c>
      <c r="B4" s="10">
        <v>0.21698390225881636</v>
      </c>
    </row>
    <row r="5" spans="1:2" x14ac:dyDescent="0.3">
      <c r="A5" s="4" t="s">
        <v>45</v>
      </c>
      <c r="B5" s="10">
        <v>0.19782759642731654</v>
      </c>
    </row>
    <row r="6" spans="1:2" x14ac:dyDescent="0.3">
      <c r="A6" s="4" t="s">
        <v>46</v>
      </c>
      <c r="B6" s="10">
        <v>0.17589543282928533</v>
      </c>
    </row>
    <row r="7" spans="1:2" x14ac:dyDescent="0.3">
      <c r="A7" s="4" t="s">
        <v>44</v>
      </c>
      <c r="B7" s="10">
        <v>0.18757689754303192</v>
      </c>
    </row>
    <row r="8" spans="1:2" x14ac:dyDescent="0.3">
      <c r="A8" s="4" t="s">
        <v>43</v>
      </c>
      <c r="B8" s="10">
        <v>0.22171617094154983</v>
      </c>
    </row>
    <row r="9" spans="1:2" x14ac:dyDescent="0.3">
      <c r="A9" s="4" t="s">
        <v>2928</v>
      </c>
      <c r="B9" s="10">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pane ySplit="1" topLeftCell="A2" activePane="bottomLeft" state="frozen"/>
      <selection pane="bottomLeft" activeCell="B16" sqref="B15:B16"/>
    </sheetView>
  </sheetViews>
  <sheetFormatPr defaultRowHeight="14.4" x14ac:dyDescent="0.3"/>
  <cols>
    <col min="1" max="1" width="10.33203125" bestFit="1" customWidth="1"/>
    <col min="3" max="3" width="9.5546875" customWidth="1"/>
    <col min="4" max="4" width="10.21875" customWidth="1"/>
    <col min="5" max="5" width="10.5546875" customWidth="1"/>
    <col min="6" max="6" width="14.5546875" customWidth="1"/>
    <col min="7" max="7" width="15.109375" customWidth="1"/>
    <col min="8" max="8" width="10.21875" customWidth="1"/>
    <col min="9" max="9" width="12.88671875" customWidth="1"/>
    <col min="10" max="10" width="11.21875" customWidth="1"/>
    <col min="11" max="11" width="17.21875" customWidth="1"/>
    <col min="12" max="12" width="11.88671875" customWidth="1"/>
    <col min="13" max="13" width="10.6640625" customWidth="1"/>
    <col min="14" max="14" width="10.33203125" bestFit="1" customWidth="1"/>
    <col min="15" max="15" width="16" customWidth="1"/>
    <col min="16" max="16" width="13.88671875" customWidth="1"/>
    <col min="17" max="17" width="11.5546875" customWidth="1"/>
    <col min="18" max="18" width="13.5546875" customWidth="1"/>
    <col min="19" max="19" width="16.21875" customWidth="1"/>
  </cols>
  <sheetData>
    <row r="1" spans="1:19"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3">
      <c r="A2" s="1">
        <v>44980</v>
      </c>
      <c r="B2" t="s">
        <v>19</v>
      </c>
      <c r="C2" t="s">
        <v>24</v>
      </c>
      <c r="D2">
        <v>14</v>
      </c>
      <c r="E2">
        <v>163.6</v>
      </c>
      <c r="F2" t="s">
        <v>31</v>
      </c>
      <c r="G2" t="s">
        <v>35</v>
      </c>
      <c r="H2">
        <v>0</v>
      </c>
      <c r="I2" t="s">
        <v>37</v>
      </c>
      <c r="J2">
        <v>2290.4</v>
      </c>
      <c r="K2" t="s">
        <v>43</v>
      </c>
      <c r="L2" t="s">
        <v>48</v>
      </c>
      <c r="M2">
        <v>0</v>
      </c>
      <c r="N2" t="s">
        <v>51</v>
      </c>
      <c r="O2" t="s">
        <v>1551</v>
      </c>
      <c r="P2">
        <v>43.34</v>
      </c>
      <c r="Q2" s="1">
        <v>44980</v>
      </c>
      <c r="R2" s="1">
        <v>44984</v>
      </c>
      <c r="S2" t="s">
        <v>2922</v>
      </c>
    </row>
    <row r="3" spans="1:19" x14ac:dyDescent="0.3">
      <c r="A3" s="1">
        <v>45645</v>
      </c>
      <c r="B3" t="s">
        <v>20</v>
      </c>
      <c r="C3" t="s">
        <v>25</v>
      </c>
      <c r="D3">
        <v>1</v>
      </c>
      <c r="E3">
        <v>544.01</v>
      </c>
      <c r="F3" t="s">
        <v>32</v>
      </c>
      <c r="G3" t="s">
        <v>36</v>
      </c>
      <c r="H3">
        <v>0</v>
      </c>
      <c r="I3" t="s">
        <v>38</v>
      </c>
      <c r="J3">
        <v>544.01</v>
      </c>
      <c r="K3" t="s">
        <v>44</v>
      </c>
      <c r="L3" t="s">
        <v>49</v>
      </c>
      <c r="M3">
        <v>0</v>
      </c>
      <c r="N3" t="s">
        <v>52</v>
      </c>
      <c r="O3" t="s">
        <v>1552</v>
      </c>
      <c r="P3">
        <v>5.3</v>
      </c>
      <c r="Q3" s="1">
        <v>45645</v>
      </c>
      <c r="R3" s="1">
        <v>45654</v>
      </c>
      <c r="S3" t="s">
        <v>2923</v>
      </c>
    </row>
    <row r="4" spans="1:19" x14ac:dyDescent="0.3">
      <c r="A4" s="1">
        <v>45056</v>
      </c>
      <c r="B4" t="s">
        <v>21</v>
      </c>
      <c r="C4" t="s">
        <v>26</v>
      </c>
      <c r="D4">
        <v>14</v>
      </c>
      <c r="E4">
        <v>346.18</v>
      </c>
      <c r="F4" t="s">
        <v>31</v>
      </c>
      <c r="G4" t="s">
        <v>35</v>
      </c>
      <c r="H4">
        <v>0.1</v>
      </c>
      <c r="I4" t="s">
        <v>38</v>
      </c>
      <c r="J4">
        <v>4361.8680000000004</v>
      </c>
      <c r="K4" t="s">
        <v>43</v>
      </c>
      <c r="L4" t="s">
        <v>50</v>
      </c>
      <c r="M4">
        <v>0</v>
      </c>
      <c r="N4" t="s">
        <v>53</v>
      </c>
      <c r="O4" t="s">
        <v>1553</v>
      </c>
      <c r="P4">
        <v>20.46</v>
      </c>
      <c r="Q4" s="1">
        <v>45056</v>
      </c>
      <c r="R4" s="1">
        <v>45065</v>
      </c>
      <c r="S4" t="s">
        <v>2924</v>
      </c>
    </row>
    <row r="5" spans="1:19" x14ac:dyDescent="0.3">
      <c r="A5" s="1">
        <v>45714</v>
      </c>
      <c r="B5" t="s">
        <v>22</v>
      </c>
      <c r="C5" t="s">
        <v>27</v>
      </c>
      <c r="D5">
        <v>18</v>
      </c>
      <c r="E5">
        <v>384.82</v>
      </c>
      <c r="F5" t="s">
        <v>32</v>
      </c>
      <c r="G5" t="s">
        <v>35</v>
      </c>
      <c r="H5">
        <v>0.15</v>
      </c>
      <c r="I5" t="s">
        <v>39</v>
      </c>
      <c r="J5">
        <v>5887.7460000000001</v>
      </c>
      <c r="K5" t="s">
        <v>44</v>
      </c>
      <c r="L5" t="s">
        <v>48</v>
      </c>
      <c r="M5">
        <v>0</v>
      </c>
      <c r="N5" t="s">
        <v>54</v>
      </c>
      <c r="O5" t="s">
        <v>1554</v>
      </c>
      <c r="P5">
        <v>27.95</v>
      </c>
      <c r="Q5" s="1">
        <v>45714</v>
      </c>
      <c r="R5" s="1">
        <v>45718</v>
      </c>
      <c r="S5" t="s">
        <v>2925</v>
      </c>
    </row>
    <row r="6" spans="1:19" x14ac:dyDescent="0.3">
      <c r="A6" s="1">
        <v>45101</v>
      </c>
      <c r="B6" t="s">
        <v>19</v>
      </c>
      <c r="C6" t="s">
        <v>26</v>
      </c>
      <c r="D6">
        <v>18</v>
      </c>
      <c r="E6">
        <v>237.76</v>
      </c>
      <c r="F6" t="s">
        <v>33</v>
      </c>
      <c r="G6" t="s">
        <v>36</v>
      </c>
      <c r="H6">
        <v>0</v>
      </c>
      <c r="I6" t="s">
        <v>40</v>
      </c>
      <c r="J6">
        <v>4279.68</v>
      </c>
      <c r="K6" t="s">
        <v>43</v>
      </c>
      <c r="L6" t="s">
        <v>49</v>
      </c>
      <c r="M6">
        <v>0</v>
      </c>
      <c r="N6" t="s">
        <v>55</v>
      </c>
      <c r="O6" t="s">
        <v>1555</v>
      </c>
      <c r="P6">
        <v>5.73</v>
      </c>
      <c r="Q6" s="1">
        <v>45101</v>
      </c>
      <c r="R6" s="1">
        <v>45104</v>
      </c>
      <c r="S6" t="s">
        <v>2922</v>
      </c>
    </row>
    <row r="7" spans="1:19" x14ac:dyDescent="0.3">
      <c r="A7" s="1">
        <v>45342</v>
      </c>
      <c r="B7" t="s">
        <v>22</v>
      </c>
      <c r="C7" t="s">
        <v>28</v>
      </c>
      <c r="D7">
        <v>2</v>
      </c>
      <c r="E7">
        <v>385.09</v>
      </c>
      <c r="F7" t="s">
        <v>34</v>
      </c>
      <c r="G7" t="s">
        <v>35</v>
      </c>
      <c r="H7">
        <v>0.15</v>
      </c>
      <c r="I7" t="s">
        <v>41</v>
      </c>
      <c r="J7">
        <v>654.65299999999991</v>
      </c>
      <c r="K7" t="s">
        <v>45</v>
      </c>
      <c r="M7">
        <v>0</v>
      </c>
      <c r="N7" t="s">
        <v>56</v>
      </c>
      <c r="O7" t="s">
        <v>1556</v>
      </c>
      <c r="P7">
        <v>11.92</v>
      </c>
      <c r="Q7" s="1">
        <v>45342</v>
      </c>
      <c r="R7" s="1">
        <v>45352</v>
      </c>
      <c r="S7" t="s">
        <v>2925</v>
      </c>
    </row>
    <row r="8" spans="1:19" x14ac:dyDescent="0.3">
      <c r="A8" s="1">
        <v>44937</v>
      </c>
      <c r="B8" t="s">
        <v>20</v>
      </c>
      <c r="C8" t="s">
        <v>27</v>
      </c>
      <c r="D8">
        <v>7</v>
      </c>
      <c r="E8">
        <v>17.5</v>
      </c>
      <c r="F8" t="s">
        <v>33</v>
      </c>
      <c r="G8" t="s">
        <v>36</v>
      </c>
      <c r="H8">
        <v>0.1</v>
      </c>
      <c r="I8" t="s">
        <v>38</v>
      </c>
      <c r="J8">
        <v>110.25</v>
      </c>
      <c r="K8" t="s">
        <v>46</v>
      </c>
      <c r="L8" t="s">
        <v>50</v>
      </c>
      <c r="M8">
        <v>0</v>
      </c>
      <c r="N8" t="s">
        <v>57</v>
      </c>
      <c r="O8" t="s">
        <v>1557</v>
      </c>
      <c r="P8">
        <v>5.0199999999999996</v>
      </c>
      <c r="Q8" s="1">
        <v>44937</v>
      </c>
      <c r="R8" s="1">
        <v>44940</v>
      </c>
      <c r="S8" t="s">
        <v>2923</v>
      </c>
    </row>
    <row r="9" spans="1:19" x14ac:dyDescent="0.3">
      <c r="A9" s="1">
        <v>44935</v>
      </c>
      <c r="B9" t="s">
        <v>22</v>
      </c>
      <c r="C9" t="s">
        <v>27</v>
      </c>
      <c r="D9">
        <v>3</v>
      </c>
      <c r="E9">
        <v>330.22</v>
      </c>
      <c r="F9" t="s">
        <v>33</v>
      </c>
      <c r="G9" t="s">
        <v>35</v>
      </c>
      <c r="H9">
        <v>0.15</v>
      </c>
      <c r="I9" t="s">
        <v>40</v>
      </c>
      <c r="J9">
        <v>842.06100000000004</v>
      </c>
      <c r="K9" t="s">
        <v>47</v>
      </c>
      <c r="M9">
        <v>0</v>
      </c>
      <c r="N9" t="s">
        <v>58</v>
      </c>
      <c r="O9" t="s">
        <v>1558</v>
      </c>
      <c r="P9">
        <v>48.01</v>
      </c>
      <c r="Q9" s="1">
        <v>44935</v>
      </c>
      <c r="R9" s="1">
        <v>44937</v>
      </c>
      <c r="S9" t="s">
        <v>2925</v>
      </c>
    </row>
    <row r="10" spans="1:19" x14ac:dyDescent="0.3">
      <c r="A10" s="1">
        <v>45581</v>
      </c>
      <c r="B10" t="s">
        <v>20</v>
      </c>
      <c r="C10" t="s">
        <v>27</v>
      </c>
      <c r="D10">
        <v>3</v>
      </c>
      <c r="E10">
        <v>432.04</v>
      </c>
      <c r="F10" t="s">
        <v>34</v>
      </c>
      <c r="G10" t="s">
        <v>35</v>
      </c>
      <c r="H10">
        <v>0.05</v>
      </c>
      <c r="I10" t="s">
        <v>42</v>
      </c>
      <c r="J10">
        <v>1231.3140000000001</v>
      </c>
      <c r="K10" t="s">
        <v>46</v>
      </c>
      <c r="L10" t="s">
        <v>48</v>
      </c>
      <c r="M10">
        <v>1</v>
      </c>
      <c r="N10" t="s">
        <v>59</v>
      </c>
      <c r="O10" t="s">
        <v>1559</v>
      </c>
      <c r="P10">
        <v>42.11</v>
      </c>
      <c r="Q10" s="1">
        <v>45581</v>
      </c>
      <c r="R10" s="1">
        <v>45583</v>
      </c>
      <c r="S10" t="s">
        <v>2923</v>
      </c>
    </row>
    <row r="11" spans="1:19" x14ac:dyDescent="0.3">
      <c r="A11" s="1">
        <v>45721</v>
      </c>
      <c r="B11" t="s">
        <v>23</v>
      </c>
      <c r="C11" t="s">
        <v>26</v>
      </c>
      <c r="D11">
        <v>5</v>
      </c>
      <c r="E11">
        <v>323.27999999999997</v>
      </c>
      <c r="F11" t="s">
        <v>34</v>
      </c>
      <c r="G11" t="s">
        <v>36</v>
      </c>
      <c r="H11">
        <v>0.1</v>
      </c>
      <c r="I11" t="s">
        <v>39</v>
      </c>
      <c r="J11">
        <v>1454.76</v>
      </c>
      <c r="K11" t="s">
        <v>44</v>
      </c>
      <c r="L11" t="s">
        <v>49</v>
      </c>
      <c r="M11">
        <v>0</v>
      </c>
      <c r="N11" t="s">
        <v>60</v>
      </c>
      <c r="O11" t="s">
        <v>1560</v>
      </c>
      <c r="P11">
        <v>41.1</v>
      </c>
      <c r="Q11" s="1">
        <v>45721</v>
      </c>
      <c r="R11" s="1">
        <v>45729</v>
      </c>
      <c r="S11" t="s">
        <v>2926</v>
      </c>
    </row>
    <row r="12" spans="1:19" x14ac:dyDescent="0.3">
      <c r="A12" s="1">
        <v>45392</v>
      </c>
      <c r="B12" t="s">
        <v>21</v>
      </c>
      <c r="C12" t="s">
        <v>26</v>
      </c>
      <c r="D12">
        <v>15</v>
      </c>
      <c r="E12">
        <v>523.29</v>
      </c>
      <c r="F12" t="s">
        <v>31</v>
      </c>
      <c r="G12" t="s">
        <v>35</v>
      </c>
      <c r="H12">
        <v>0.15</v>
      </c>
      <c r="I12" t="s">
        <v>37</v>
      </c>
      <c r="J12">
        <v>6671.9474999999993</v>
      </c>
      <c r="K12" t="s">
        <v>46</v>
      </c>
      <c r="M12">
        <v>0</v>
      </c>
      <c r="N12" t="s">
        <v>61</v>
      </c>
      <c r="O12" t="s">
        <v>1561</v>
      </c>
      <c r="P12">
        <v>12.14</v>
      </c>
      <c r="Q12" s="1">
        <v>45392</v>
      </c>
      <c r="R12" s="1">
        <v>45399</v>
      </c>
      <c r="S12" t="s">
        <v>2924</v>
      </c>
    </row>
    <row r="13" spans="1:19" x14ac:dyDescent="0.3">
      <c r="A13" s="1">
        <v>45485</v>
      </c>
      <c r="B13" t="s">
        <v>19</v>
      </c>
      <c r="C13" t="s">
        <v>25</v>
      </c>
      <c r="D13">
        <v>19</v>
      </c>
      <c r="E13">
        <v>207.35</v>
      </c>
      <c r="F13" t="s">
        <v>34</v>
      </c>
      <c r="G13" t="s">
        <v>36</v>
      </c>
      <c r="H13">
        <v>0.1</v>
      </c>
      <c r="I13" t="s">
        <v>37</v>
      </c>
      <c r="J13">
        <v>3545.6849999999999</v>
      </c>
      <c r="K13" t="s">
        <v>44</v>
      </c>
      <c r="M13">
        <v>1</v>
      </c>
      <c r="N13" t="s">
        <v>62</v>
      </c>
      <c r="O13" t="s">
        <v>1562</v>
      </c>
      <c r="P13">
        <v>44.89</v>
      </c>
      <c r="Q13" s="1">
        <v>45485</v>
      </c>
      <c r="R13" s="1">
        <v>45491</v>
      </c>
      <c r="S13" t="s">
        <v>2922</v>
      </c>
    </row>
    <row r="14" spans="1:19" x14ac:dyDescent="0.3">
      <c r="A14" s="1">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1">
        <v>45128</v>
      </c>
      <c r="R14" s="1">
        <v>45138</v>
      </c>
      <c r="S14" t="s">
        <v>2925</v>
      </c>
    </row>
    <row r="15" spans="1:19" x14ac:dyDescent="0.3">
      <c r="A15" s="1">
        <v>45675</v>
      </c>
      <c r="B15" t="s">
        <v>23</v>
      </c>
      <c r="C15" t="s">
        <v>29</v>
      </c>
      <c r="D15">
        <v>1</v>
      </c>
      <c r="E15">
        <v>157.83000000000001</v>
      </c>
      <c r="F15" t="s">
        <v>32</v>
      </c>
      <c r="G15" t="s">
        <v>35</v>
      </c>
      <c r="H15">
        <v>0.15</v>
      </c>
      <c r="I15" t="s">
        <v>40</v>
      </c>
      <c r="J15">
        <v>134.15549999999999</v>
      </c>
      <c r="K15" t="s">
        <v>46</v>
      </c>
      <c r="M15">
        <v>0</v>
      </c>
      <c r="N15" t="s">
        <v>64</v>
      </c>
      <c r="O15" t="s">
        <v>1564</v>
      </c>
      <c r="P15">
        <v>42.82</v>
      </c>
      <c r="Q15" s="1">
        <v>45675</v>
      </c>
      <c r="R15" s="1">
        <v>45679</v>
      </c>
      <c r="S15" t="s">
        <v>2926</v>
      </c>
    </row>
    <row r="16" spans="1:19" x14ac:dyDescent="0.3">
      <c r="A16" s="1">
        <v>45634</v>
      </c>
      <c r="B16" t="s">
        <v>21</v>
      </c>
      <c r="C16" t="s">
        <v>26</v>
      </c>
      <c r="D16">
        <v>15</v>
      </c>
      <c r="E16">
        <v>220.3</v>
      </c>
      <c r="F16" t="s">
        <v>31</v>
      </c>
      <c r="G16" t="s">
        <v>36</v>
      </c>
      <c r="H16">
        <v>0.15</v>
      </c>
      <c r="I16" t="s">
        <v>41</v>
      </c>
      <c r="J16">
        <v>2808.8249999999998</v>
      </c>
      <c r="K16" t="s">
        <v>46</v>
      </c>
      <c r="M16">
        <v>0</v>
      </c>
      <c r="N16" t="s">
        <v>65</v>
      </c>
      <c r="O16" t="s">
        <v>1565</v>
      </c>
      <c r="P16">
        <v>39.659999999999997</v>
      </c>
      <c r="Q16" s="1">
        <v>45634</v>
      </c>
      <c r="R16" s="1">
        <v>45641</v>
      </c>
      <c r="S16" t="s">
        <v>2924</v>
      </c>
    </row>
    <row r="17" spans="1:19" x14ac:dyDescent="0.3">
      <c r="A17" s="1">
        <v>45788</v>
      </c>
      <c r="B17" t="s">
        <v>23</v>
      </c>
      <c r="C17" t="s">
        <v>27</v>
      </c>
      <c r="D17">
        <v>17</v>
      </c>
      <c r="E17">
        <v>162.96</v>
      </c>
      <c r="F17" t="s">
        <v>32</v>
      </c>
      <c r="G17" t="s">
        <v>35</v>
      </c>
      <c r="H17">
        <v>0.05</v>
      </c>
      <c r="I17" t="s">
        <v>37</v>
      </c>
      <c r="J17">
        <v>2631.8040000000001</v>
      </c>
      <c r="K17" t="s">
        <v>44</v>
      </c>
      <c r="L17" t="s">
        <v>48</v>
      </c>
      <c r="M17">
        <v>0</v>
      </c>
      <c r="N17" t="s">
        <v>66</v>
      </c>
      <c r="O17" t="s">
        <v>1566</v>
      </c>
      <c r="P17">
        <v>8.11</v>
      </c>
      <c r="Q17" s="1">
        <v>45788</v>
      </c>
      <c r="R17" s="1">
        <v>45794</v>
      </c>
      <c r="S17" t="s">
        <v>2926</v>
      </c>
    </row>
    <row r="18" spans="1:19" x14ac:dyDescent="0.3">
      <c r="A18" s="1">
        <v>44983</v>
      </c>
      <c r="B18" t="s">
        <v>23</v>
      </c>
      <c r="C18" t="s">
        <v>24</v>
      </c>
      <c r="D18">
        <v>19</v>
      </c>
      <c r="E18">
        <v>236.11</v>
      </c>
      <c r="F18" t="s">
        <v>34</v>
      </c>
      <c r="G18" t="s">
        <v>35</v>
      </c>
      <c r="H18">
        <v>0</v>
      </c>
      <c r="I18" t="s">
        <v>42</v>
      </c>
      <c r="J18">
        <v>4486.09</v>
      </c>
      <c r="K18" t="s">
        <v>43</v>
      </c>
      <c r="L18" t="s">
        <v>50</v>
      </c>
      <c r="M18">
        <v>0</v>
      </c>
      <c r="N18" t="s">
        <v>67</v>
      </c>
      <c r="O18" t="s">
        <v>1567</v>
      </c>
      <c r="P18">
        <v>34.11</v>
      </c>
      <c r="Q18" s="1">
        <v>44983</v>
      </c>
      <c r="R18" s="1">
        <v>44989</v>
      </c>
      <c r="S18" t="s">
        <v>2926</v>
      </c>
    </row>
    <row r="19" spans="1:19" x14ac:dyDescent="0.3">
      <c r="A19" s="1">
        <v>45440</v>
      </c>
      <c r="B19" t="s">
        <v>22</v>
      </c>
      <c r="C19" t="s">
        <v>26</v>
      </c>
      <c r="D19">
        <v>11</v>
      </c>
      <c r="E19">
        <v>573.14</v>
      </c>
      <c r="F19" t="s">
        <v>34</v>
      </c>
      <c r="G19" t="s">
        <v>36</v>
      </c>
      <c r="H19">
        <v>0.05</v>
      </c>
      <c r="I19" t="s">
        <v>41</v>
      </c>
      <c r="J19">
        <v>5989.3130000000001</v>
      </c>
      <c r="K19" t="s">
        <v>47</v>
      </c>
      <c r="L19" t="s">
        <v>49</v>
      </c>
      <c r="M19">
        <v>0</v>
      </c>
      <c r="N19" t="s">
        <v>68</v>
      </c>
      <c r="O19" t="s">
        <v>1568</v>
      </c>
      <c r="P19">
        <v>34.71</v>
      </c>
      <c r="Q19" s="1">
        <v>45440</v>
      </c>
      <c r="R19" s="1">
        <v>45444</v>
      </c>
      <c r="S19" t="s">
        <v>2925</v>
      </c>
    </row>
    <row r="20" spans="1:19" x14ac:dyDescent="0.3">
      <c r="A20" s="1">
        <v>45260</v>
      </c>
      <c r="B20" t="s">
        <v>19</v>
      </c>
      <c r="C20" t="s">
        <v>25</v>
      </c>
      <c r="D20">
        <v>20</v>
      </c>
      <c r="E20">
        <v>519.04</v>
      </c>
      <c r="F20" t="s">
        <v>31</v>
      </c>
      <c r="G20" t="s">
        <v>36</v>
      </c>
      <c r="H20">
        <v>0.15</v>
      </c>
      <c r="I20" t="s">
        <v>40</v>
      </c>
      <c r="J20">
        <v>8823.6799999999985</v>
      </c>
      <c r="K20" t="s">
        <v>44</v>
      </c>
      <c r="L20" t="s">
        <v>48</v>
      </c>
      <c r="M20">
        <v>0</v>
      </c>
      <c r="N20" t="s">
        <v>69</v>
      </c>
      <c r="O20" t="s">
        <v>1569</v>
      </c>
      <c r="P20">
        <v>19.43</v>
      </c>
      <c r="Q20" s="1">
        <v>45260</v>
      </c>
      <c r="R20" s="1">
        <v>45268</v>
      </c>
      <c r="S20" t="s">
        <v>2922</v>
      </c>
    </row>
    <row r="21" spans="1:19" x14ac:dyDescent="0.3">
      <c r="A21" s="1">
        <v>45099</v>
      </c>
      <c r="B21" t="s">
        <v>23</v>
      </c>
      <c r="C21" t="s">
        <v>26</v>
      </c>
      <c r="D21">
        <v>14</v>
      </c>
      <c r="E21">
        <v>30.83</v>
      </c>
      <c r="F21" t="s">
        <v>31</v>
      </c>
      <c r="G21" t="s">
        <v>36</v>
      </c>
      <c r="H21">
        <v>0</v>
      </c>
      <c r="I21" t="s">
        <v>40</v>
      </c>
      <c r="J21">
        <v>431.62</v>
      </c>
      <c r="K21" t="s">
        <v>43</v>
      </c>
      <c r="L21" t="s">
        <v>50</v>
      </c>
      <c r="M21">
        <v>1</v>
      </c>
      <c r="N21" t="s">
        <v>70</v>
      </c>
      <c r="O21" t="s">
        <v>1570</v>
      </c>
      <c r="P21">
        <v>7.1</v>
      </c>
      <c r="Q21" s="1">
        <v>45099</v>
      </c>
      <c r="R21" s="1">
        <v>45109</v>
      </c>
      <c r="S21" t="s">
        <v>2926</v>
      </c>
    </row>
    <row r="22" spans="1:19" x14ac:dyDescent="0.3">
      <c r="A22" s="1">
        <v>45813</v>
      </c>
      <c r="B22" t="s">
        <v>23</v>
      </c>
      <c r="C22" t="s">
        <v>25</v>
      </c>
      <c r="D22">
        <v>10</v>
      </c>
      <c r="E22">
        <v>319.05</v>
      </c>
      <c r="F22" t="s">
        <v>34</v>
      </c>
      <c r="G22" t="s">
        <v>35</v>
      </c>
      <c r="H22">
        <v>0</v>
      </c>
      <c r="I22" t="s">
        <v>41</v>
      </c>
      <c r="J22">
        <v>3190.5</v>
      </c>
      <c r="K22" t="s">
        <v>43</v>
      </c>
      <c r="M22">
        <v>0</v>
      </c>
      <c r="N22" t="s">
        <v>71</v>
      </c>
      <c r="O22" t="s">
        <v>1571</v>
      </c>
      <c r="P22">
        <v>28.43</v>
      </c>
      <c r="Q22" s="1">
        <v>45813</v>
      </c>
      <c r="R22" s="1">
        <v>45816</v>
      </c>
      <c r="S22" t="s">
        <v>2926</v>
      </c>
    </row>
    <row r="23" spans="1:19" x14ac:dyDescent="0.3">
      <c r="A23" s="1">
        <v>44988</v>
      </c>
      <c r="B23" t="s">
        <v>22</v>
      </c>
      <c r="C23" t="s">
        <v>27</v>
      </c>
      <c r="D23">
        <v>14</v>
      </c>
      <c r="E23">
        <v>312.79000000000002</v>
      </c>
      <c r="F23" t="s">
        <v>32</v>
      </c>
      <c r="G23" t="s">
        <v>36</v>
      </c>
      <c r="H23">
        <v>0.05</v>
      </c>
      <c r="I23" t="s">
        <v>42</v>
      </c>
      <c r="J23">
        <v>4160.107</v>
      </c>
      <c r="K23" t="s">
        <v>43</v>
      </c>
      <c r="M23">
        <v>1</v>
      </c>
      <c r="N23" t="s">
        <v>72</v>
      </c>
      <c r="O23" t="s">
        <v>1572</v>
      </c>
      <c r="P23">
        <v>46.83</v>
      </c>
      <c r="Q23" s="1">
        <v>44988</v>
      </c>
      <c r="R23" s="1">
        <v>44993</v>
      </c>
      <c r="S23" t="s">
        <v>2925</v>
      </c>
    </row>
    <row r="24" spans="1:19" x14ac:dyDescent="0.3">
      <c r="A24" s="1">
        <v>45340</v>
      </c>
      <c r="B24" t="s">
        <v>21</v>
      </c>
      <c r="C24" t="s">
        <v>24</v>
      </c>
      <c r="D24">
        <v>14</v>
      </c>
      <c r="E24">
        <v>395.45</v>
      </c>
      <c r="F24" t="s">
        <v>33</v>
      </c>
      <c r="G24" t="s">
        <v>36</v>
      </c>
      <c r="H24">
        <v>0</v>
      </c>
      <c r="I24" t="s">
        <v>40</v>
      </c>
      <c r="J24">
        <v>5536.3</v>
      </c>
      <c r="K24" t="s">
        <v>47</v>
      </c>
      <c r="L24" t="s">
        <v>48</v>
      </c>
      <c r="M24">
        <v>1</v>
      </c>
      <c r="N24" t="s">
        <v>73</v>
      </c>
      <c r="O24" t="s">
        <v>1573</v>
      </c>
      <c r="P24">
        <v>36.450000000000003</v>
      </c>
      <c r="Q24" s="1">
        <v>45340</v>
      </c>
      <c r="R24" s="1">
        <v>45344</v>
      </c>
      <c r="S24" t="s">
        <v>2924</v>
      </c>
    </row>
    <row r="25" spans="1:19" x14ac:dyDescent="0.3">
      <c r="A25" s="1">
        <v>45144</v>
      </c>
      <c r="B25" t="s">
        <v>22</v>
      </c>
      <c r="C25" t="s">
        <v>24</v>
      </c>
      <c r="D25">
        <v>12</v>
      </c>
      <c r="E25">
        <v>472.72</v>
      </c>
      <c r="F25" t="s">
        <v>34</v>
      </c>
      <c r="G25" t="s">
        <v>36</v>
      </c>
      <c r="H25">
        <v>0.15</v>
      </c>
      <c r="I25" t="s">
        <v>41</v>
      </c>
      <c r="J25">
        <v>4821.7440000000006</v>
      </c>
      <c r="K25" t="s">
        <v>45</v>
      </c>
      <c r="M25">
        <v>0</v>
      </c>
      <c r="N25" t="s">
        <v>74</v>
      </c>
      <c r="O25" t="s">
        <v>1574</v>
      </c>
      <c r="P25">
        <v>27.97</v>
      </c>
      <c r="Q25" s="1">
        <v>45144</v>
      </c>
      <c r="R25" s="1">
        <v>45152</v>
      </c>
      <c r="S25" t="s">
        <v>2925</v>
      </c>
    </row>
    <row r="26" spans="1:19" x14ac:dyDescent="0.3">
      <c r="A26" s="1">
        <v>45435</v>
      </c>
      <c r="B26" t="s">
        <v>21</v>
      </c>
      <c r="C26" t="s">
        <v>26</v>
      </c>
      <c r="D26">
        <v>5</v>
      </c>
      <c r="E26">
        <v>288.01</v>
      </c>
      <c r="F26" t="s">
        <v>32</v>
      </c>
      <c r="G26" t="s">
        <v>35</v>
      </c>
      <c r="H26">
        <v>0</v>
      </c>
      <c r="I26" t="s">
        <v>37</v>
      </c>
      <c r="J26">
        <v>1440.05</v>
      </c>
      <c r="K26" t="s">
        <v>45</v>
      </c>
      <c r="L26" t="s">
        <v>48</v>
      </c>
      <c r="M26">
        <v>0</v>
      </c>
      <c r="N26" t="s">
        <v>75</v>
      </c>
      <c r="O26" t="s">
        <v>1575</v>
      </c>
      <c r="P26">
        <v>46.69</v>
      </c>
      <c r="Q26" s="1">
        <v>45435</v>
      </c>
      <c r="R26" s="1">
        <v>45442</v>
      </c>
      <c r="S26" t="s">
        <v>2924</v>
      </c>
    </row>
    <row r="27" spans="1:19" x14ac:dyDescent="0.3">
      <c r="A27" s="1">
        <v>45222</v>
      </c>
      <c r="B27" t="s">
        <v>19</v>
      </c>
      <c r="C27" t="s">
        <v>25</v>
      </c>
      <c r="D27">
        <v>13</v>
      </c>
      <c r="E27">
        <v>562.29</v>
      </c>
      <c r="F27" t="s">
        <v>34</v>
      </c>
      <c r="G27" t="s">
        <v>36</v>
      </c>
      <c r="H27">
        <v>0</v>
      </c>
      <c r="I27" t="s">
        <v>41</v>
      </c>
      <c r="J27">
        <v>7309.77</v>
      </c>
      <c r="K27" t="s">
        <v>44</v>
      </c>
      <c r="L27" t="s">
        <v>49</v>
      </c>
      <c r="M27">
        <v>0</v>
      </c>
      <c r="N27" t="s">
        <v>76</v>
      </c>
      <c r="O27" t="s">
        <v>1576</v>
      </c>
      <c r="P27">
        <v>38.130000000000003</v>
      </c>
      <c r="Q27" s="1">
        <v>45222</v>
      </c>
      <c r="R27" s="1">
        <v>45227</v>
      </c>
      <c r="S27" t="s">
        <v>2922</v>
      </c>
    </row>
    <row r="28" spans="1:19" x14ac:dyDescent="0.3">
      <c r="A28" s="1">
        <v>45824</v>
      </c>
      <c r="B28" t="s">
        <v>23</v>
      </c>
      <c r="C28" t="s">
        <v>25</v>
      </c>
      <c r="D28">
        <v>1</v>
      </c>
      <c r="E28">
        <v>101.73</v>
      </c>
      <c r="F28" t="s">
        <v>34</v>
      </c>
      <c r="G28" t="s">
        <v>36</v>
      </c>
      <c r="H28">
        <v>0</v>
      </c>
      <c r="I28" t="s">
        <v>39</v>
      </c>
      <c r="J28">
        <v>101.73</v>
      </c>
      <c r="K28" t="s">
        <v>46</v>
      </c>
      <c r="L28" t="s">
        <v>50</v>
      </c>
      <c r="M28">
        <v>0</v>
      </c>
      <c r="N28" t="s">
        <v>77</v>
      </c>
      <c r="O28" t="s">
        <v>1577</v>
      </c>
      <c r="P28">
        <v>11.59</v>
      </c>
      <c r="Q28" s="1">
        <v>45824</v>
      </c>
      <c r="R28" s="1">
        <v>45833</v>
      </c>
      <c r="S28" t="s">
        <v>2926</v>
      </c>
    </row>
    <row r="29" spans="1:19" x14ac:dyDescent="0.3">
      <c r="A29" s="1">
        <v>44988</v>
      </c>
      <c r="B29" t="s">
        <v>21</v>
      </c>
      <c r="C29" t="s">
        <v>25</v>
      </c>
      <c r="D29">
        <v>4</v>
      </c>
      <c r="E29">
        <v>279.49</v>
      </c>
      <c r="F29" t="s">
        <v>31</v>
      </c>
      <c r="G29" t="s">
        <v>36</v>
      </c>
      <c r="H29">
        <v>0</v>
      </c>
      <c r="I29" t="s">
        <v>41</v>
      </c>
      <c r="J29">
        <v>1117.96</v>
      </c>
      <c r="K29" t="s">
        <v>45</v>
      </c>
      <c r="L29" t="s">
        <v>48</v>
      </c>
      <c r="M29">
        <v>0</v>
      </c>
      <c r="N29" t="s">
        <v>78</v>
      </c>
      <c r="O29" t="s">
        <v>1578</v>
      </c>
      <c r="P29">
        <v>24.78</v>
      </c>
      <c r="Q29" s="1">
        <v>44988</v>
      </c>
      <c r="R29" s="1">
        <v>44993</v>
      </c>
      <c r="S29" t="s">
        <v>2924</v>
      </c>
    </row>
    <row r="30" spans="1:19" x14ac:dyDescent="0.3">
      <c r="A30" s="1">
        <v>45614</v>
      </c>
      <c r="B30" t="s">
        <v>20</v>
      </c>
      <c r="C30" t="s">
        <v>24</v>
      </c>
      <c r="D30">
        <v>1</v>
      </c>
      <c r="E30">
        <v>178.55</v>
      </c>
      <c r="F30" t="s">
        <v>32</v>
      </c>
      <c r="G30" t="s">
        <v>36</v>
      </c>
      <c r="H30">
        <v>0.15</v>
      </c>
      <c r="I30" t="s">
        <v>40</v>
      </c>
      <c r="J30">
        <v>151.76750000000001</v>
      </c>
      <c r="K30" t="s">
        <v>46</v>
      </c>
      <c r="L30" t="s">
        <v>49</v>
      </c>
      <c r="M30">
        <v>1</v>
      </c>
      <c r="N30" t="s">
        <v>79</v>
      </c>
      <c r="O30" t="s">
        <v>1579</v>
      </c>
      <c r="P30">
        <v>7.61</v>
      </c>
      <c r="Q30" s="1">
        <v>45614</v>
      </c>
      <c r="R30" s="1">
        <v>45617</v>
      </c>
      <c r="S30" t="s">
        <v>2923</v>
      </c>
    </row>
    <row r="31" spans="1:19" x14ac:dyDescent="0.3">
      <c r="A31" s="1">
        <v>45055</v>
      </c>
      <c r="B31" t="s">
        <v>22</v>
      </c>
      <c r="C31" t="s">
        <v>29</v>
      </c>
      <c r="D31">
        <v>1</v>
      </c>
      <c r="E31">
        <v>472.07</v>
      </c>
      <c r="F31" t="s">
        <v>32</v>
      </c>
      <c r="G31" t="s">
        <v>35</v>
      </c>
      <c r="H31">
        <v>0.1</v>
      </c>
      <c r="I31" t="s">
        <v>40</v>
      </c>
      <c r="J31">
        <v>424.863</v>
      </c>
      <c r="K31" t="s">
        <v>43</v>
      </c>
      <c r="L31" t="s">
        <v>48</v>
      </c>
      <c r="M31">
        <v>0</v>
      </c>
      <c r="N31" t="s">
        <v>80</v>
      </c>
      <c r="O31" t="s">
        <v>1580</v>
      </c>
      <c r="P31">
        <v>33.17</v>
      </c>
      <c r="Q31" s="1">
        <v>45055</v>
      </c>
      <c r="R31" s="1">
        <v>45063</v>
      </c>
      <c r="S31" t="s">
        <v>2925</v>
      </c>
    </row>
    <row r="32" spans="1:19" x14ac:dyDescent="0.3">
      <c r="A32" s="1">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1">
        <v>45633</v>
      </c>
      <c r="R32" s="1">
        <v>45640</v>
      </c>
      <c r="S32" t="s">
        <v>2924</v>
      </c>
    </row>
    <row r="33" spans="1:19" x14ac:dyDescent="0.3">
      <c r="A33" s="1">
        <v>45335</v>
      </c>
      <c r="B33" t="s">
        <v>21</v>
      </c>
      <c r="C33" t="s">
        <v>25</v>
      </c>
      <c r="D33">
        <v>7</v>
      </c>
      <c r="E33">
        <v>434.77</v>
      </c>
      <c r="F33" t="s">
        <v>33</v>
      </c>
      <c r="G33" t="s">
        <v>36</v>
      </c>
      <c r="H33">
        <v>0.15</v>
      </c>
      <c r="I33" t="s">
        <v>39</v>
      </c>
      <c r="J33">
        <v>2586.8815</v>
      </c>
      <c r="K33" t="s">
        <v>43</v>
      </c>
      <c r="L33" t="s">
        <v>49</v>
      </c>
      <c r="M33">
        <v>0</v>
      </c>
      <c r="N33" t="s">
        <v>82</v>
      </c>
      <c r="O33" t="s">
        <v>1582</v>
      </c>
      <c r="P33">
        <v>12.35</v>
      </c>
      <c r="Q33" s="1">
        <v>45335</v>
      </c>
      <c r="R33" s="1">
        <v>45337</v>
      </c>
      <c r="S33" t="s">
        <v>2924</v>
      </c>
    </row>
    <row r="34" spans="1:19" x14ac:dyDescent="0.3">
      <c r="A34" s="1">
        <v>45725</v>
      </c>
      <c r="B34" t="s">
        <v>20</v>
      </c>
      <c r="C34" t="s">
        <v>26</v>
      </c>
      <c r="D34">
        <v>6</v>
      </c>
      <c r="E34">
        <v>64.98</v>
      </c>
      <c r="F34" t="s">
        <v>33</v>
      </c>
      <c r="G34" t="s">
        <v>36</v>
      </c>
      <c r="H34">
        <v>0</v>
      </c>
      <c r="I34" t="s">
        <v>40</v>
      </c>
      <c r="J34">
        <v>389.88</v>
      </c>
      <c r="K34" t="s">
        <v>46</v>
      </c>
      <c r="L34" t="s">
        <v>50</v>
      </c>
      <c r="M34">
        <v>0</v>
      </c>
      <c r="N34" t="s">
        <v>83</v>
      </c>
      <c r="O34" t="s">
        <v>1583</v>
      </c>
      <c r="P34">
        <v>21.25</v>
      </c>
      <c r="Q34" s="1">
        <v>45725</v>
      </c>
      <c r="R34" s="1">
        <v>45731</v>
      </c>
      <c r="S34" t="s">
        <v>2923</v>
      </c>
    </row>
    <row r="35" spans="1:19" x14ac:dyDescent="0.3">
      <c r="A35" s="1">
        <v>45021</v>
      </c>
      <c r="B35" t="s">
        <v>22</v>
      </c>
      <c r="C35" t="s">
        <v>26</v>
      </c>
      <c r="D35">
        <v>17</v>
      </c>
      <c r="E35">
        <v>476.49</v>
      </c>
      <c r="F35" t="s">
        <v>34</v>
      </c>
      <c r="G35" t="s">
        <v>36</v>
      </c>
      <c r="H35">
        <v>0</v>
      </c>
      <c r="I35" t="s">
        <v>38</v>
      </c>
      <c r="J35">
        <v>8100.33</v>
      </c>
      <c r="K35" t="s">
        <v>44</v>
      </c>
      <c r="M35">
        <v>0</v>
      </c>
      <c r="N35" t="s">
        <v>84</v>
      </c>
      <c r="O35" t="s">
        <v>1584</v>
      </c>
      <c r="P35">
        <v>17.91</v>
      </c>
      <c r="Q35" s="1">
        <v>45021</v>
      </c>
      <c r="R35" s="1">
        <v>45027</v>
      </c>
      <c r="S35" t="s">
        <v>2925</v>
      </c>
    </row>
    <row r="36" spans="1:19" x14ac:dyDescent="0.3">
      <c r="A36" s="1">
        <v>45785</v>
      </c>
      <c r="B36" t="s">
        <v>21</v>
      </c>
      <c r="C36" t="s">
        <v>28</v>
      </c>
      <c r="D36">
        <v>4</v>
      </c>
      <c r="E36">
        <v>559.72</v>
      </c>
      <c r="F36" t="s">
        <v>34</v>
      </c>
      <c r="G36" t="s">
        <v>36</v>
      </c>
      <c r="H36">
        <v>0.15</v>
      </c>
      <c r="I36" t="s">
        <v>41</v>
      </c>
      <c r="J36">
        <v>1903.048</v>
      </c>
      <c r="K36" t="s">
        <v>43</v>
      </c>
      <c r="L36" t="s">
        <v>49</v>
      </c>
      <c r="M36">
        <v>0</v>
      </c>
      <c r="N36" t="s">
        <v>85</v>
      </c>
      <c r="O36" t="s">
        <v>1585</v>
      </c>
      <c r="P36">
        <v>41.91</v>
      </c>
      <c r="Q36" s="1">
        <v>45785</v>
      </c>
      <c r="R36" s="1">
        <v>45789</v>
      </c>
      <c r="S36" t="s">
        <v>2924</v>
      </c>
    </row>
    <row r="37" spans="1:19" x14ac:dyDescent="0.3">
      <c r="A37" s="1">
        <v>45172</v>
      </c>
      <c r="B37" t="s">
        <v>21</v>
      </c>
      <c r="C37" t="s">
        <v>29</v>
      </c>
      <c r="D37">
        <v>14</v>
      </c>
      <c r="E37">
        <v>82.14</v>
      </c>
      <c r="F37" t="s">
        <v>33</v>
      </c>
      <c r="G37" t="s">
        <v>36</v>
      </c>
      <c r="H37">
        <v>0</v>
      </c>
      <c r="I37" t="s">
        <v>38</v>
      </c>
      <c r="J37">
        <v>1149.96</v>
      </c>
      <c r="K37" t="s">
        <v>45</v>
      </c>
      <c r="M37">
        <v>0</v>
      </c>
      <c r="N37" t="s">
        <v>86</v>
      </c>
      <c r="O37" t="s">
        <v>1586</v>
      </c>
      <c r="P37">
        <v>12.57</v>
      </c>
      <c r="Q37" s="1">
        <v>45172</v>
      </c>
      <c r="R37" s="1">
        <v>45180</v>
      </c>
      <c r="S37" t="s">
        <v>2924</v>
      </c>
    </row>
    <row r="38" spans="1:19" x14ac:dyDescent="0.3">
      <c r="A38" s="1">
        <v>45737</v>
      </c>
      <c r="B38" t="s">
        <v>22</v>
      </c>
      <c r="C38" t="s">
        <v>27</v>
      </c>
      <c r="D38">
        <v>9</v>
      </c>
      <c r="E38">
        <v>343.21</v>
      </c>
      <c r="F38" t="s">
        <v>32</v>
      </c>
      <c r="G38" t="s">
        <v>36</v>
      </c>
      <c r="H38">
        <v>0.05</v>
      </c>
      <c r="I38" t="s">
        <v>40</v>
      </c>
      <c r="J38">
        <v>2934.4454999999998</v>
      </c>
      <c r="K38" t="s">
        <v>46</v>
      </c>
      <c r="L38" t="s">
        <v>48</v>
      </c>
      <c r="M38">
        <v>0</v>
      </c>
      <c r="N38" t="s">
        <v>87</v>
      </c>
      <c r="O38" t="s">
        <v>1587</v>
      </c>
      <c r="P38">
        <v>40.29</v>
      </c>
      <c r="Q38" s="1">
        <v>45737</v>
      </c>
      <c r="R38" s="1">
        <v>45744</v>
      </c>
      <c r="S38" t="s">
        <v>2925</v>
      </c>
    </row>
    <row r="39" spans="1:19" x14ac:dyDescent="0.3">
      <c r="A39" s="1">
        <v>45828</v>
      </c>
      <c r="B39" t="s">
        <v>20</v>
      </c>
      <c r="C39" t="s">
        <v>27</v>
      </c>
      <c r="D39">
        <v>7</v>
      </c>
      <c r="E39">
        <v>301.01</v>
      </c>
      <c r="F39" t="s">
        <v>31</v>
      </c>
      <c r="G39" t="s">
        <v>36</v>
      </c>
      <c r="H39">
        <v>0.15</v>
      </c>
      <c r="I39" t="s">
        <v>41</v>
      </c>
      <c r="J39">
        <v>1791.0094999999999</v>
      </c>
      <c r="K39" t="s">
        <v>47</v>
      </c>
      <c r="L39" t="s">
        <v>49</v>
      </c>
      <c r="M39">
        <v>1</v>
      </c>
      <c r="N39" t="s">
        <v>88</v>
      </c>
      <c r="O39" t="s">
        <v>1588</v>
      </c>
      <c r="P39">
        <v>34.97</v>
      </c>
      <c r="Q39" s="1">
        <v>45828</v>
      </c>
      <c r="R39" s="1">
        <v>45838</v>
      </c>
      <c r="S39" t="s">
        <v>2923</v>
      </c>
    </row>
    <row r="40" spans="1:19" x14ac:dyDescent="0.3">
      <c r="A40" s="1">
        <v>45337</v>
      </c>
      <c r="B40" t="s">
        <v>22</v>
      </c>
      <c r="C40" t="s">
        <v>30</v>
      </c>
      <c r="D40">
        <v>14</v>
      </c>
      <c r="E40">
        <v>428.13</v>
      </c>
      <c r="F40" t="s">
        <v>33</v>
      </c>
      <c r="G40" t="s">
        <v>36</v>
      </c>
      <c r="H40">
        <v>0.1</v>
      </c>
      <c r="I40" t="s">
        <v>42</v>
      </c>
      <c r="J40">
        <v>5394.4380000000001</v>
      </c>
      <c r="K40" t="s">
        <v>47</v>
      </c>
      <c r="M40">
        <v>1</v>
      </c>
      <c r="N40" t="s">
        <v>89</v>
      </c>
      <c r="O40" t="s">
        <v>1589</v>
      </c>
      <c r="P40">
        <v>24.77</v>
      </c>
      <c r="Q40" s="1">
        <v>45337</v>
      </c>
      <c r="R40" s="1">
        <v>45347</v>
      </c>
      <c r="S40" t="s">
        <v>2925</v>
      </c>
    </row>
    <row r="41" spans="1:19" x14ac:dyDescent="0.3">
      <c r="A41" s="1">
        <v>45086</v>
      </c>
      <c r="B41" t="s">
        <v>22</v>
      </c>
      <c r="C41" t="s">
        <v>24</v>
      </c>
      <c r="D41">
        <v>2</v>
      </c>
      <c r="E41">
        <v>503.28</v>
      </c>
      <c r="F41" t="s">
        <v>34</v>
      </c>
      <c r="G41" t="s">
        <v>36</v>
      </c>
      <c r="H41">
        <v>0.15</v>
      </c>
      <c r="I41" t="s">
        <v>38</v>
      </c>
      <c r="J41">
        <v>855.57599999999991</v>
      </c>
      <c r="K41" t="s">
        <v>44</v>
      </c>
      <c r="M41">
        <v>0</v>
      </c>
      <c r="N41" t="s">
        <v>90</v>
      </c>
      <c r="O41" t="s">
        <v>1590</v>
      </c>
      <c r="P41">
        <v>34.79</v>
      </c>
      <c r="Q41" s="1">
        <v>45086</v>
      </c>
      <c r="R41" s="1">
        <v>45094</v>
      </c>
      <c r="S41" t="s">
        <v>2925</v>
      </c>
    </row>
    <row r="42" spans="1:19" x14ac:dyDescent="0.3">
      <c r="A42" s="1">
        <v>45148</v>
      </c>
      <c r="B42" t="s">
        <v>20</v>
      </c>
      <c r="C42" t="s">
        <v>30</v>
      </c>
      <c r="D42">
        <v>5</v>
      </c>
      <c r="E42">
        <v>470.32</v>
      </c>
      <c r="F42" t="s">
        <v>32</v>
      </c>
      <c r="G42" t="s">
        <v>36</v>
      </c>
      <c r="H42">
        <v>0.1</v>
      </c>
      <c r="I42" t="s">
        <v>37</v>
      </c>
      <c r="J42">
        <v>2116.44</v>
      </c>
      <c r="K42" t="s">
        <v>46</v>
      </c>
      <c r="L42" t="s">
        <v>49</v>
      </c>
      <c r="M42">
        <v>0</v>
      </c>
      <c r="N42" t="s">
        <v>91</v>
      </c>
      <c r="O42" t="s">
        <v>1591</v>
      </c>
      <c r="P42">
        <v>17.77</v>
      </c>
      <c r="Q42" s="1">
        <v>45148</v>
      </c>
      <c r="R42" s="1">
        <v>45152</v>
      </c>
      <c r="S42" t="s">
        <v>2923</v>
      </c>
    </row>
    <row r="43" spans="1:19" x14ac:dyDescent="0.3">
      <c r="A43" s="1">
        <v>45459</v>
      </c>
      <c r="B43" t="s">
        <v>22</v>
      </c>
      <c r="C43" t="s">
        <v>30</v>
      </c>
      <c r="D43">
        <v>20</v>
      </c>
      <c r="E43">
        <v>65.17</v>
      </c>
      <c r="F43" t="s">
        <v>33</v>
      </c>
      <c r="G43" t="s">
        <v>35</v>
      </c>
      <c r="H43">
        <v>0.05</v>
      </c>
      <c r="I43" t="s">
        <v>37</v>
      </c>
      <c r="J43">
        <v>1238.23</v>
      </c>
      <c r="K43" t="s">
        <v>44</v>
      </c>
      <c r="L43" t="s">
        <v>48</v>
      </c>
      <c r="M43">
        <v>0</v>
      </c>
      <c r="N43" t="s">
        <v>92</v>
      </c>
      <c r="O43" t="s">
        <v>1592</v>
      </c>
      <c r="P43">
        <v>21.72</v>
      </c>
      <c r="Q43" s="1">
        <v>45459</v>
      </c>
      <c r="R43" s="1">
        <v>45468</v>
      </c>
      <c r="S43" t="s">
        <v>2925</v>
      </c>
    </row>
    <row r="44" spans="1:19" x14ac:dyDescent="0.3">
      <c r="A44" s="1">
        <v>45130</v>
      </c>
      <c r="B44" t="s">
        <v>20</v>
      </c>
      <c r="C44" t="s">
        <v>24</v>
      </c>
      <c r="D44">
        <v>12</v>
      </c>
      <c r="E44">
        <v>36.17</v>
      </c>
      <c r="F44" t="s">
        <v>32</v>
      </c>
      <c r="G44" t="s">
        <v>36</v>
      </c>
      <c r="H44">
        <v>0</v>
      </c>
      <c r="I44" t="s">
        <v>37</v>
      </c>
      <c r="J44">
        <v>434.04</v>
      </c>
      <c r="K44" t="s">
        <v>43</v>
      </c>
      <c r="L44" t="s">
        <v>50</v>
      </c>
      <c r="M44">
        <v>0</v>
      </c>
      <c r="N44" t="s">
        <v>93</v>
      </c>
      <c r="O44" t="s">
        <v>1593</v>
      </c>
      <c r="P44">
        <v>34.85</v>
      </c>
      <c r="Q44" s="1">
        <v>45130</v>
      </c>
      <c r="R44" s="1">
        <v>45133</v>
      </c>
      <c r="S44" t="s">
        <v>2923</v>
      </c>
    </row>
    <row r="45" spans="1:19" x14ac:dyDescent="0.3">
      <c r="A45" s="1">
        <v>45066</v>
      </c>
      <c r="B45" t="s">
        <v>22</v>
      </c>
      <c r="C45" t="s">
        <v>30</v>
      </c>
      <c r="D45">
        <v>4</v>
      </c>
      <c r="E45">
        <v>459.31</v>
      </c>
      <c r="F45" t="s">
        <v>34</v>
      </c>
      <c r="G45" t="s">
        <v>35</v>
      </c>
      <c r="H45">
        <v>0.15</v>
      </c>
      <c r="I45" t="s">
        <v>40</v>
      </c>
      <c r="J45">
        <v>1561.654</v>
      </c>
      <c r="K45" t="s">
        <v>44</v>
      </c>
      <c r="L45" t="s">
        <v>50</v>
      </c>
      <c r="M45">
        <v>1</v>
      </c>
      <c r="N45" t="s">
        <v>94</v>
      </c>
      <c r="O45" t="s">
        <v>1594</v>
      </c>
      <c r="P45">
        <v>27.39</v>
      </c>
      <c r="Q45" s="1">
        <v>45066</v>
      </c>
      <c r="R45" s="1">
        <v>45073</v>
      </c>
      <c r="S45" t="s">
        <v>2925</v>
      </c>
    </row>
    <row r="46" spans="1:19" x14ac:dyDescent="0.3">
      <c r="A46" s="1">
        <v>45107</v>
      </c>
      <c r="B46" t="s">
        <v>20</v>
      </c>
      <c r="C46" t="s">
        <v>24</v>
      </c>
      <c r="D46">
        <v>2</v>
      </c>
      <c r="E46">
        <v>416.06</v>
      </c>
      <c r="F46" t="s">
        <v>34</v>
      </c>
      <c r="G46" t="s">
        <v>36</v>
      </c>
      <c r="H46">
        <v>0.05</v>
      </c>
      <c r="I46" t="s">
        <v>37</v>
      </c>
      <c r="J46">
        <v>790.51400000000001</v>
      </c>
      <c r="K46" t="s">
        <v>46</v>
      </c>
      <c r="L46" t="s">
        <v>49</v>
      </c>
      <c r="M46">
        <v>0</v>
      </c>
      <c r="N46" t="s">
        <v>95</v>
      </c>
      <c r="O46" t="s">
        <v>1595</v>
      </c>
      <c r="P46">
        <v>11.62</v>
      </c>
      <c r="Q46" s="1">
        <v>45107</v>
      </c>
      <c r="R46" s="1">
        <v>45111</v>
      </c>
      <c r="S46" t="s">
        <v>2923</v>
      </c>
    </row>
    <row r="47" spans="1:19" x14ac:dyDescent="0.3">
      <c r="A47" s="1">
        <v>45447</v>
      </c>
      <c r="B47" t="s">
        <v>20</v>
      </c>
      <c r="C47" t="s">
        <v>29</v>
      </c>
      <c r="D47">
        <v>16</v>
      </c>
      <c r="E47">
        <v>302.58</v>
      </c>
      <c r="F47" t="s">
        <v>34</v>
      </c>
      <c r="G47" t="s">
        <v>36</v>
      </c>
      <c r="H47">
        <v>0</v>
      </c>
      <c r="I47" t="s">
        <v>38</v>
      </c>
      <c r="J47">
        <v>4841.28</v>
      </c>
      <c r="K47" t="s">
        <v>43</v>
      </c>
      <c r="L47" t="s">
        <v>50</v>
      </c>
      <c r="M47">
        <v>1</v>
      </c>
      <c r="N47" t="s">
        <v>96</v>
      </c>
      <c r="O47" t="s">
        <v>1596</v>
      </c>
      <c r="P47">
        <v>20.76</v>
      </c>
      <c r="Q47" s="1">
        <v>45447</v>
      </c>
      <c r="R47" s="1">
        <v>45457</v>
      </c>
      <c r="S47" t="s">
        <v>2923</v>
      </c>
    </row>
    <row r="48" spans="1:19" x14ac:dyDescent="0.3">
      <c r="A48" s="1">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1">
        <v>45691</v>
      </c>
      <c r="R48" s="1">
        <v>45693</v>
      </c>
      <c r="S48" t="s">
        <v>2926</v>
      </c>
    </row>
    <row r="49" spans="1:19" x14ac:dyDescent="0.3">
      <c r="A49" s="1">
        <v>45300</v>
      </c>
      <c r="B49" t="s">
        <v>19</v>
      </c>
      <c r="C49" t="s">
        <v>29</v>
      </c>
      <c r="D49">
        <v>8</v>
      </c>
      <c r="E49">
        <v>582.52</v>
      </c>
      <c r="F49" t="s">
        <v>34</v>
      </c>
      <c r="G49" t="s">
        <v>36</v>
      </c>
      <c r="H49">
        <v>0.15</v>
      </c>
      <c r="I49" t="s">
        <v>39</v>
      </c>
      <c r="J49">
        <v>3961.136</v>
      </c>
      <c r="K49" t="s">
        <v>44</v>
      </c>
      <c r="L49" t="s">
        <v>50</v>
      </c>
      <c r="M49">
        <v>0</v>
      </c>
      <c r="N49" t="s">
        <v>98</v>
      </c>
      <c r="O49" t="s">
        <v>1598</v>
      </c>
      <c r="P49">
        <v>6.47</v>
      </c>
      <c r="Q49" s="1">
        <v>45300</v>
      </c>
      <c r="R49" s="1">
        <v>45304</v>
      </c>
      <c r="S49" t="s">
        <v>2922</v>
      </c>
    </row>
    <row r="50" spans="1:19" x14ac:dyDescent="0.3">
      <c r="A50" s="1">
        <v>45365</v>
      </c>
      <c r="B50" t="s">
        <v>21</v>
      </c>
      <c r="C50" t="s">
        <v>26</v>
      </c>
      <c r="D50">
        <v>5</v>
      </c>
      <c r="E50">
        <v>165.15</v>
      </c>
      <c r="F50" t="s">
        <v>32</v>
      </c>
      <c r="G50" t="s">
        <v>36</v>
      </c>
      <c r="H50">
        <v>0.1</v>
      </c>
      <c r="I50" t="s">
        <v>37</v>
      </c>
      <c r="J50">
        <v>743.17500000000007</v>
      </c>
      <c r="K50" t="s">
        <v>44</v>
      </c>
      <c r="M50">
        <v>0</v>
      </c>
      <c r="N50" t="s">
        <v>99</v>
      </c>
      <c r="O50" t="s">
        <v>1599</v>
      </c>
      <c r="P50">
        <v>20.57</v>
      </c>
      <c r="Q50" s="1">
        <v>45365</v>
      </c>
      <c r="R50" s="1">
        <v>45367</v>
      </c>
      <c r="S50" t="s">
        <v>2924</v>
      </c>
    </row>
    <row r="51" spans="1:19" x14ac:dyDescent="0.3">
      <c r="A51" s="1">
        <v>45541</v>
      </c>
      <c r="B51" t="s">
        <v>23</v>
      </c>
      <c r="C51" t="s">
        <v>28</v>
      </c>
      <c r="D51">
        <v>14</v>
      </c>
      <c r="E51">
        <v>242.82</v>
      </c>
      <c r="F51" t="s">
        <v>34</v>
      </c>
      <c r="G51" t="s">
        <v>35</v>
      </c>
      <c r="H51">
        <v>0.15</v>
      </c>
      <c r="I51" t="s">
        <v>38</v>
      </c>
      <c r="J51">
        <v>2889.558</v>
      </c>
      <c r="K51" t="s">
        <v>47</v>
      </c>
      <c r="L51" t="s">
        <v>50</v>
      </c>
      <c r="M51">
        <v>1</v>
      </c>
      <c r="N51" t="s">
        <v>100</v>
      </c>
      <c r="O51" t="s">
        <v>1600</v>
      </c>
      <c r="P51">
        <v>20.71</v>
      </c>
      <c r="Q51" s="1">
        <v>45541</v>
      </c>
      <c r="R51" s="1">
        <v>45548</v>
      </c>
      <c r="S51" t="s">
        <v>2926</v>
      </c>
    </row>
    <row r="52" spans="1:19" x14ac:dyDescent="0.3">
      <c r="A52" s="1">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1">
        <v>45002</v>
      </c>
      <c r="R52" s="1">
        <v>45005</v>
      </c>
      <c r="S52" t="s">
        <v>2922</v>
      </c>
    </row>
    <row r="53" spans="1:19" x14ac:dyDescent="0.3">
      <c r="A53" s="1">
        <v>45674</v>
      </c>
      <c r="B53" t="s">
        <v>23</v>
      </c>
      <c r="C53" t="s">
        <v>27</v>
      </c>
      <c r="D53">
        <v>2</v>
      </c>
      <c r="E53">
        <v>251.69</v>
      </c>
      <c r="F53" t="s">
        <v>33</v>
      </c>
      <c r="G53" t="s">
        <v>35</v>
      </c>
      <c r="H53">
        <v>0</v>
      </c>
      <c r="I53" t="s">
        <v>38</v>
      </c>
      <c r="J53">
        <v>503.38</v>
      </c>
      <c r="K53" t="s">
        <v>46</v>
      </c>
      <c r="L53" t="s">
        <v>48</v>
      </c>
      <c r="M53">
        <v>0</v>
      </c>
      <c r="N53" t="s">
        <v>102</v>
      </c>
      <c r="O53" t="s">
        <v>1602</v>
      </c>
      <c r="P53">
        <v>42.49</v>
      </c>
      <c r="Q53" s="1">
        <v>45674</v>
      </c>
      <c r="R53" s="1">
        <v>45681</v>
      </c>
      <c r="S53" t="s">
        <v>2926</v>
      </c>
    </row>
    <row r="54" spans="1:19" x14ac:dyDescent="0.3">
      <c r="A54" s="1">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1">
        <v>45547</v>
      </c>
      <c r="R54" s="1">
        <v>45553</v>
      </c>
      <c r="S54" t="s">
        <v>2923</v>
      </c>
    </row>
    <row r="55" spans="1:19" x14ac:dyDescent="0.3">
      <c r="A55" s="1">
        <v>45296</v>
      </c>
      <c r="B55" t="s">
        <v>20</v>
      </c>
      <c r="C55" t="s">
        <v>28</v>
      </c>
      <c r="D55">
        <v>2</v>
      </c>
      <c r="E55">
        <v>371.3</v>
      </c>
      <c r="F55" t="s">
        <v>31</v>
      </c>
      <c r="G55" t="s">
        <v>35</v>
      </c>
      <c r="H55">
        <v>0.05</v>
      </c>
      <c r="I55" t="s">
        <v>42</v>
      </c>
      <c r="J55">
        <v>705.47</v>
      </c>
      <c r="K55" t="s">
        <v>45</v>
      </c>
      <c r="L55" t="s">
        <v>49</v>
      </c>
      <c r="M55">
        <v>0</v>
      </c>
      <c r="N55" t="s">
        <v>104</v>
      </c>
      <c r="O55" t="s">
        <v>1604</v>
      </c>
      <c r="P55">
        <v>36.51</v>
      </c>
      <c r="Q55" s="1">
        <v>45296</v>
      </c>
      <c r="R55" s="1">
        <v>45306</v>
      </c>
      <c r="S55" t="s">
        <v>2923</v>
      </c>
    </row>
    <row r="56" spans="1:19" x14ac:dyDescent="0.3">
      <c r="A56" s="1">
        <v>45401</v>
      </c>
      <c r="B56" t="s">
        <v>23</v>
      </c>
      <c r="C56" t="s">
        <v>29</v>
      </c>
      <c r="D56">
        <v>11</v>
      </c>
      <c r="E56">
        <v>288.24</v>
      </c>
      <c r="F56" t="s">
        <v>32</v>
      </c>
      <c r="G56" t="s">
        <v>35</v>
      </c>
      <c r="H56">
        <v>0.15</v>
      </c>
      <c r="I56" t="s">
        <v>41</v>
      </c>
      <c r="J56">
        <v>2695.0439999999999</v>
      </c>
      <c r="K56" t="s">
        <v>43</v>
      </c>
      <c r="M56">
        <v>0</v>
      </c>
      <c r="N56" t="s">
        <v>105</v>
      </c>
      <c r="O56" t="s">
        <v>1605</v>
      </c>
      <c r="P56">
        <v>37.39</v>
      </c>
      <c r="Q56" s="1">
        <v>45401</v>
      </c>
      <c r="R56" s="1">
        <v>45407</v>
      </c>
      <c r="S56" t="s">
        <v>2926</v>
      </c>
    </row>
    <row r="57" spans="1:19" x14ac:dyDescent="0.3">
      <c r="A57" s="1">
        <v>45819</v>
      </c>
      <c r="B57" t="s">
        <v>22</v>
      </c>
      <c r="C57" t="s">
        <v>29</v>
      </c>
      <c r="D57">
        <v>11</v>
      </c>
      <c r="E57">
        <v>232.75</v>
      </c>
      <c r="F57" t="s">
        <v>34</v>
      </c>
      <c r="G57" t="s">
        <v>35</v>
      </c>
      <c r="H57">
        <v>0.05</v>
      </c>
      <c r="I57" t="s">
        <v>37</v>
      </c>
      <c r="J57">
        <v>2432.2375000000002</v>
      </c>
      <c r="K57" t="s">
        <v>45</v>
      </c>
      <c r="L57" t="s">
        <v>49</v>
      </c>
      <c r="M57">
        <v>0</v>
      </c>
      <c r="N57" t="s">
        <v>106</v>
      </c>
      <c r="O57" t="s">
        <v>1606</v>
      </c>
      <c r="P57">
        <v>36.33</v>
      </c>
      <c r="Q57" s="1">
        <v>45819</v>
      </c>
      <c r="R57" s="1">
        <v>45829</v>
      </c>
      <c r="S57" t="s">
        <v>2925</v>
      </c>
    </row>
    <row r="58" spans="1:19" x14ac:dyDescent="0.3">
      <c r="A58" s="1">
        <v>45722</v>
      </c>
      <c r="B58" t="s">
        <v>19</v>
      </c>
      <c r="C58" t="s">
        <v>25</v>
      </c>
      <c r="D58">
        <v>17</v>
      </c>
      <c r="E58">
        <v>146.28</v>
      </c>
      <c r="F58" t="s">
        <v>31</v>
      </c>
      <c r="G58" t="s">
        <v>36</v>
      </c>
      <c r="H58">
        <v>0.15</v>
      </c>
      <c r="I58" t="s">
        <v>40</v>
      </c>
      <c r="J58">
        <v>2113.7460000000001</v>
      </c>
      <c r="K58" t="s">
        <v>47</v>
      </c>
      <c r="L58" t="s">
        <v>49</v>
      </c>
      <c r="M58">
        <v>0</v>
      </c>
      <c r="N58" t="s">
        <v>107</v>
      </c>
      <c r="O58" t="s">
        <v>1607</v>
      </c>
      <c r="P58">
        <v>7.84</v>
      </c>
      <c r="Q58" s="1">
        <v>45722</v>
      </c>
      <c r="R58" s="1">
        <v>45731</v>
      </c>
      <c r="S58" t="s">
        <v>2922</v>
      </c>
    </row>
    <row r="59" spans="1:19" x14ac:dyDescent="0.3">
      <c r="A59" s="1">
        <v>45070</v>
      </c>
      <c r="B59" t="s">
        <v>19</v>
      </c>
      <c r="C59" t="s">
        <v>27</v>
      </c>
      <c r="D59">
        <v>5</v>
      </c>
      <c r="E59">
        <v>100.38</v>
      </c>
      <c r="F59" t="s">
        <v>33</v>
      </c>
      <c r="G59" t="s">
        <v>36</v>
      </c>
      <c r="H59">
        <v>0.1</v>
      </c>
      <c r="I59" t="s">
        <v>37</v>
      </c>
      <c r="J59">
        <v>451.71</v>
      </c>
      <c r="K59" t="s">
        <v>44</v>
      </c>
      <c r="L59" t="s">
        <v>50</v>
      </c>
      <c r="M59">
        <v>1</v>
      </c>
      <c r="N59" t="s">
        <v>108</v>
      </c>
      <c r="O59" t="s">
        <v>1608</v>
      </c>
      <c r="P59">
        <v>18.350000000000001</v>
      </c>
      <c r="Q59" s="1">
        <v>45070</v>
      </c>
      <c r="R59" s="1">
        <v>45072</v>
      </c>
      <c r="S59" t="s">
        <v>2922</v>
      </c>
    </row>
    <row r="60" spans="1:19" x14ac:dyDescent="0.3">
      <c r="A60" s="1">
        <v>44953</v>
      </c>
      <c r="B60" t="s">
        <v>20</v>
      </c>
      <c r="C60" t="s">
        <v>25</v>
      </c>
      <c r="D60">
        <v>11</v>
      </c>
      <c r="E60">
        <v>375.48</v>
      </c>
      <c r="F60" t="s">
        <v>31</v>
      </c>
      <c r="G60" t="s">
        <v>36</v>
      </c>
      <c r="H60">
        <v>0.05</v>
      </c>
      <c r="I60" t="s">
        <v>42</v>
      </c>
      <c r="J60">
        <v>3923.766000000001</v>
      </c>
      <c r="K60" t="s">
        <v>46</v>
      </c>
      <c r="L60" t="s">
        <v>50</v>
      </c>
      <c r="M60">
        <v>0</v>
      </c>
      <c r="N60" t="s">
        <v>109</v>
      </c>
      <c r="O60" t="s">
        <v>1609</v>
      </c>
      <c r="P60">
        <v>15.95</v>
      </c>
      <c r="Q60" s="1">
        <v>44953</v>
      </c>
      <c r="R60" s="1">
        <v>44960</v>
      </c>
      <c r="S60" t="s">
        <v>2923</v>
      </c>
    </row>
    <row r="61" spans="1:19" x14ac:dyDescent="0.3">
      <c r="A61" s="1">
        <v>45372</v>
      </c>
      <c r="B61" t="s">
        <v>20</v>
      </c>
      <c r="C61" t="s">
        <v>24</v>
      </c>
      <c r="D61">
        <v>18</v>
      </c>
      <c r="E61">
        <v>316.89</v>
      </c>
      <c r="F61" t="s">
        <v>31</v>
      </c>
      <c r="G61" t="s">
        <v>35</v>
      </c>
      <c r="H61">
        <v>0.05</v>
      </c>
      <c r="I61" t="s">
        <v>42</v>
      </c>
      <c r="J61">
        <v>5418.8190000000004</v>
      </c>
      <c r="K61" t="s">
        <v>47</v>
      </c>
      <c r="L61" t="s">
        <v>48</v>
      </c>
      <c r="M61">
        <v>0</v>
      </c>
      <c r="N61" t="s">
        <v>110</v>
      </c>
      <c r="O61" t="s">
        <v>1610</v>
      </c>
      <c r="P61">
        <v>15.69</v>
      </c>
      <c r="Q61" s="1">
        <v>45372</v>
      </c>
      <c r="R61" s="1">
        <v>45378</v>
      </c>
      <c r="S61" t="s">
        <v>2923</v>
      </c>
    </row>
    <row r="62" spans="1:19" x14ac:dyDescent="0.3">
      <c r="A62" s="1">
        <v>45682</v>
      </c>
      <c r="B62" t="s">
        <v>23</v>
      </c>
      <c r="C62" t="s">
        <v>24</v>
      </c>
      <c r="D62">
        <v>20</v>
      </c>
      <c r="E62">
        <v>295.06</v>
      </c>
      <c r="F62" t="s">
        <v>34</v>
      </c>
      <c r="G62" t="s">
        <v>36</v>
      </c>
      <c r="H62">
        <v>0.15</v>
      </c>
      <c r="I62" t="s">
        <v>39</v>
      </c>
      <c r="J62">
        <v>5016.0200000000004</v>
      </c>
      <c r="K62" t="s">
        <v>43</v>
      </c>
      <c r="L62" t="s">
        <v>49</v>
      </c>
      <c r="M62">
        <v>1</v>
      </c>
      <c r="N62" t="s">
        <v>111</v>
      </c>
      <c r="O62" t="s">
        <v>1611</v>
      </c>
      <c r="P62">
        <v>13.66</v>
      </c>
      <c r="Q62" s="1">
        <v>45682</v>
      </c>
      <c r="R62" s="1">
        <v>45688</v>
      </c>
      <c r="S62" t="s">
        <v>2926</v>
      </c>
    </row>
    <row r="63" spans="1:19" x14ac:dyDescent="0.3">
      <c r="A63" s="1">
        <v>45089</v>
      </c>
      <c r="B63" t="s">
        <v>22</v>
      </c>
      <c r="C63" t="s">
        <v>25</v>
      </c>
      <c r="D63">
        <v>8</v>
      </c>
      <c r="E63">
        <v>301.68</v>
      </c>
      <c r="F63" t="s">
        <v>34</v>
      </c>
      <c r="G63" t="s">
        <v>36</v>
      </c>
      <c r="H63">
        <v>0</v>
      </c>
      <c r="I63" t="s">
        <v>37</v>
      </c>
      <c r="J63">
        <v>2413.44</v>
      </c>
      <c r="K63" t="s">
        <v>47</v>
      </c>
      <c r="L63" t="s">
        <v>49</v>
      </c>
      <c r="M63">
        <v>0</v>
      </c>
      <c r="N63" t="s">
        <v>112</v>
      </c>
      <c r="O63" t="s">
        <v>1612</v>
      </c>
      <c r="P63">
        <v>36.54</v>
      </c>
      <c r="Q63" s="1">
        <v>45089</v>
      </c>
      <c r="R63" s="1">
        <v>45098</v>
      </c>
      <c r="S63" t="s">
        <v>2925</v>
      </c>
    </row>
    <row r="64" spans="1:19" x14ac:dyDescent="0.3">
      <c r="A64" s="1">
        <v>45738</v>
      </c>
      <c r="B64" t="s">
        <v>22</v>
      </c>
      <c r="C64" t="s">
        <v>27</v>
      </c>
      <c r="D64">
        <v>3</v>
      </c>
      <c r="E64">
        <v>475.39</v>
      </c>
      <c r="F64" t="s">
        <v>31</v>
      </c>
      <c r="G64" t="s">
        <v>36</v>
      </c>
      <c r="H64">
        <v>0.1</v>
      </c>
      <c r="I64" t="s">
        <v>38</v>
      </c>
      <c r="J64">
        <v>1283.5530000000001</v>
      </c>
      <c r="K64" t="s">
        <v>44</v>
      </c>
      <c r="M64">
        <v>0</v>
      </c>
      <c r="N64" t="s">
        <v>113</v>
      </c>
      <c r="O64" t="s">
        <v>1613</v>
      </c>
      <c r="P64">
        <v>15.62</v>
      </c>
      <c r="Q64" s="1">
        <v>45738</v>
      </c>
      <c r="R64" s="1">
        <v>45742</v>
      </c>
      <c r="S64" t="s">
        <v>2925</v>
      </c>
    </row>
    <row r="65" spans="1:19" x14ac:dyDescent="0.3">
      <c r="A65" s="1">
        <v>45346</v>
      </c>
      <c r="B65" t="s">
        <v>22</v>
      </c>
      <c r="C65" t="s">
        <v>26</v>
      </c>
      <c r="D65">
        <v>16</v>
      </c>
      <c r="E65">
        <v>47.25</v>
      </c>
      <c r="F65" t="s">
        <v>34</v>
      </c>
      <c r="G65" t="s">
        <v>36</v>
      </c>
      <c r="H65">
        <v>0.15</v>
      </c>
      <c r="I65" t="s">
        <v>42</v>
      </c>
      <c r="J65">
        <v>642.6</v>
      </c>
      <c r="K65" t="s">
        <v>46</v>
      </c>
      <c r="L65" t="s">
        <v>48</v>
      </c>
      <c r="M65">
        <v>0</v>
      </c>
      <c r="N65" t="s">
        <v>114</v>
      </c>
      <c r="O65" t="s">
        <v>1614</v>
      </c>
      <c r="P65">
        <v>29.5</v>
      </c>
      <c r="Q65" s="1">
        <v>45346</v>
      </c>
      <c r="R65" s="1">
        <v>45349</v>
      </c>
      <c r="S65" t="s">
        <v>2925</v>
      </c>
    </row>
    <row r="66" spans="1:19" x14ac:dyDescent="0.3">
      <c r="A66" s="1">
        <v>45269</v>
      </c>
      <c r="B66" t="s">
        <v>20</v>
      </c>
      <c r="C66" t="s">
        <v>27</v>
      </c>
      <c r="D66">
        <v>15</v>
      </c>
      <c r="E66">
        <v>511.17</v>
      </c>
      <c r="F66" t="s">
        <v>31</v>
      </c>
      <c r="G66" t="s">
        <v>35</v>
      </c>
      <c r="H66">
        <v>0</v>
      </c>
      <c r="I66" t="s">
        <v>39</v>
      </c>
      <c r="J66">
        <v>7667.55</v>
      </c>
      <c r="K66" t="s">
        <v>43</v>
      </c>
      <c r="L66" t="s">
        <v>48</v>
      </c>
      <c r="M66">
        <v>0</v>
      </c>
      <c r="N66" t="s">
        <v>115</v>
      </c>
      <c r="O66" t="s">
        <v>1615</v>
      </c>
      <c r="P66">
        <v>21.77</v>
      </c>
      <c r="Q66" s="1">
        <v>45269</v>
      </c>
      <c r="R66" s="1">
        <v>45272</v>
      </c>
      <c r="S66" t="s">
        <v>2923</v>
      </c>
    </row>
    <row r="67" spans="1:19" x14ac:dyDescent="0.3">
      <c r="A67" s="1">
        <v>45200</v>
      </c>
      <c r="B67" t="s">
        <v>22</v>
      </c>
      <c r="C67" t="s">
        <v>28</v>
      </c>
      <c r="D67">
        <v>3</v>
      </c>
      <c r="E67">
        <v>66.58</v>
      </c>
      <c r="F67" t="s">
        <v>31</v>
      </c>
      <c r="G67" t="s">
        <v>36</v>
      </c>
      <c r="H67">
        <v>0.1</v>
      </c>
      <c r="I67" t="s">
        <v>39</v>
      </c>
      <c r="J67">
        <v>179.76599999999999</v>
      </c>
      <c r="K67" t="s">
        <v>46</v>
      </c>
      <c r="L67" t="s">
        <v>48</v>
      </c>
      <c r="M67">
        <v>0</v>
      </c>
      <c r="N67" t="s">
        <v>116</v>
      </c>
      <c r="O67" t="s">
        <v>1616</v>
      </c>
      <c r="P67">
        <v>22.43</v>
      </c>
      <c r="Q67" s="1">
        <v>45200</v>
      </c>
      <c r="R67" s="1">
        <v>45204</v>
      </c>
      <c r="S67" t="s">
        <v>2925</v>
      </c>
    </row>
    <row r="68" spans="1:19" x14ac:dyDescent="0.3">
      <c r="A68" s="1">
        <v>45138</v>
      </c>
      <c r="B68" t="s">
        <v>23</v>
      </c>
      <c r="C68" t="s">
        <v>29</v>
      </c>
      <c r="D68">
        <v>5</v>
      </c>
      <c r="E68">
        <v>490.52</v>
      </c>
      <c r="F68" t="s">
        <v>34</v>
      </c>
      <c r="G68" t="s">
        <v>35</v>
      </c>
      <c r="H68">
        <v>0.05</v>
      </c>
      <c r="I68" t="s">
        <v>39</v>
      </c>
      <c r="J68">
        <v>2329.9699999999998</v>
      </c>
      <c r="K68" t="s">
        <v>43</v>
      </c>
      <c r="M68">
        <v>0</v>
      </c>
      <c r="N68" t="s">
        <v>117</v>
      </c>
      <c r="O68" t="s">
        <v>1617</v>
      </c>
      <c r="P68">
        <v>12.24</v>
      </c>
      <c r="Q68" s="1">
        <v>45138</v>
      </c>
      <c r="R68" s="1">
        <v>45145</v>
      </c>
      <c r="S68" t="s">
        <v>2926</v>
      </c>
    </row>
    <row r="69" spans="1:19" x14ac:dyDescent="0.3">
      <c r="A69" s="1">
        <v>45650</v>
      </c>
      <c r="B69" t="s">
        <v>20</v>
      </c>
      <c r="C69" t="s">
        <v>27</v>
      </c>
      <c r="D69">
        <v>8</v>
      </c>
      <c r="E69">
        <v>405.96</v>
      </c>
      <c r="F69" t="s">
        <v>32</v>
      </c>
      <c r="G69" t="s">
        <v>35</v>
      </c>
      <c r="H69">
        <v>0.05</v>
      </c>
      <c r="I69" t="s">
        <v>40</v>
      </c>
      <c r="J69">
        <v>3085.2959999999998</v>
      </c>
      <c r="K69" t="s">
        <v>45</v>
      </c>
      <c r="L69" t="s">
        <v>50</v>
      </c>
      <c r="M69">
        <v>0</v>
      </c>
      <c r="N69" t="s">
        <v>118</v>
      </c>
      <c r="O69" t="s">
        <v>1618</v>
      </c>
      <c r="P69">
        <v>41.27</v>
      </c>
      <c r="Q69" s="1">
        <v>45650</v>
      </c>
      <c r="R69" s="1">
        <v>45657</v>
      </c>
      <c r="S69" t="s">
        <v>2923</v>
      </c>
    </row>
    <row r="70" spans="1:19" x14ac:dyDescent="0.3">
      <c r="A70" s="1">
        <v>45611</v>
      </c>
      <c r="B70" t="s">
        <v>21</v>
      </c>
      <c r="C70" t="s">
        <v>25</v>
      </c>
      <c r="D70">
        <v>1</v>
      </c>
      <c r="E70">
        <v>159.41</v>
      </c>
      <c r="F70" t="s">
        <v>31</v>
      </c>
      <c r="G70" t="s">
        <v>36</v>
      </c>
      <c r="H70">
        <v>0.1</v>
      </c>
      <c r="I70" t="s">
        <v>42</v>
      </c>
      <c r="J70">
        <v>143.46899999999999</v>
      </c>
      <c r="K70" t="s">
        <v>45</v>
      </c>
      <c r="L70" t="s">
        <v>48</v>
      </c>
      <c r="M70">
        <v>0</v>
      </c>
      <c r="N70" t="s">
        <v>119</v>
      </c>
      <c r="O70" t="s">
        <v>1619</v>
      </c>
      <c r="P70">
        <v>35.14</v>
      </c>
      <c r="Q70" s="1">
        <v>45611</v>
      </c>
      <c r="R70" s="1">
        <v>45615</v>
      </c>
      <c r="S70" t="s">
        <v>2924</v>
      </c>
    </row>
    <row r="71" spans="1:19" x14ac:dyDescent="0.3">
      <c r="A71" s="1">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1">
        <v>45729</v>
      </c>
      <c r="R71" s="1">
        <v>45738</v>
      </c>
      <c r="S71" t="s">
        <v>2926</v>
      </c>
    </row>
    <row r="72" spans="1:19" x14ac:dyDescent="0.3">
      <c r="A72" s="1">
        <v>45354</v>
      </c>
      <c r="B72" t="s">
        <v>19</v>
      </c>
      <c r="C72" t="s">
        <v>29</v>
      </c>
      <c r="D72">
        <v>15</v>
      </c>
      <c r="E72">
        <v>328.36</v>
      </c>
      <c r="F72" t="s">
        <v>34</v>
      </c>
      <c r="G72" t="s">
        <v>36</v>
      </c>
      <c r="H72">
        <v>0.15</v>
      </c>
      <c r="I72" t="s">
        <v>38</v>
      </c>
      <c r="J72">
        <v>4186.59</v>
      </c>
      <c r="K72" t="s">
        <v>44</v>
      </c>
      <c r="L72" t="s">
        <v>50</v>
      </c>
      <c r="M72">
        <v>0</v>
      </c>
      <c r="N72" t="s">
        <v>121</v>
      </c>
      <c r="O72" t="s">
        <v>1621</v>
      </c>
      <c r="P72">
        <v>15.76</v>
      </c>
      <c r="Q72" s="1">
        <v>45354</v>
      </c>
      <c r="R72" s="1">
        <v>45363</v>
      </c>
      <c r="S72" t="s">
        <v>2922</v>
      </c>
    </row>
    <row r="73" spans="1:19" x14ac:dyDescent="0.3">
      <c r="A73" s="1">
        <v>44968</v>
      </c>
      <c r="B73" t="s">
        <v>22</v>
      </c>
      <c r="C73" t="s">
        <v>29</v>
      </c>
      <c r="D73">
        <v>20</v>
      </c>
      <c r="E73">
        <v>548.01</v>
      </c>
      <c r="F73" t="s">
        <v>32</v>
      </c>
      <c r="G73" t="s">
        <v>35</v>
      </c>
      <c r="H73">
        <v>0.1</v>
      </c>
      <c r="I73" t="s">
        <v>37</v>
      </c>
      <c r="J73">
        <v>9864.18</v>
      </c>
      <c r="K73" t="s">
        <v>45</v>
      </c>
      <c r="L73" t="s">
        <v>50</v>
      </c>
      <c r="M73">
        <v>1</v>
      </c>
      <c r="N73" t="s">
        <v>122</v>
      </c>
      <c r="O73" t="s">
        <v>1622</v>
      </c>
      <c r="P73">
        <v>5.89</v>
      </c>
      <c r="Q73" s="1">
        <v>44968</v>
      </c>
      <c r="R73" s="1">
        <v>44971</v>
      </c>
      <c r="S73" t="s">
        <v>2925</v>
      </c>
    </row>
    <row r="74" spans="1:19" x14ac:dyDescent="0.3">
      <c r="A74" s="1">
        <v>45225</v>
      </c>
      <c r="B74" t="s">
        <v>20</v>
      </c>
      <c r="C74" t="s">
        <v>26</v>
      </c>
      <c r="D74">
        <v>13</v>
      </c>
      <c r="E74">
        <v>484.45</v>
      </c>
      <c r="F74" t="s">
        <v>31</v>
      </c>
      <c r="G74" t="s">
        <v>35</v>
      </c>
      <c r="H74">
        <v>0.05</v>
      </c>
      <c r="I74" t="s">
        <v>40</v>
      </c>
      <c r="J74">
        <v>5982.9575000000004</v>
      </c>
      <c r="K74" t="s">
        <v>44</v>
      </c>
      <c r="L74" t="s">
        <v>50</v>
      </c>
      <c r="M74">
        <v>1</v>
      </c>
      <c r="N74" t="s">
        <v>123</v>
      </c>
      <c r="O74" t="s">
        <v>1623</v>
      </c>
      <c r="P74">
        <v>6.57</v>
      </c>
      <c r="Q74" s="1">
        <v>45225</v>
      </c>
      <c r="R74" s="1">
        <v>45235</v>
      </c>
      <c r="S74" t="s">
        <v>2923</v>
      </c>
    </row>
    <row r="75" spans="1:19" x14ac:dyDescent="0.3">
      <c r="A75" s="1">
        <v>45220</v>
      </c>
      <c r="B75" t="s">
        <v>20</v>
      </c>
      <c r="C75" t="s">
        <v>28</v>
      </c>
      <c r="D75">
        <v>13</v>
      </c>
      <c r="E75">
        <v>195.84</v>
      </c>
      <c r="F75" t="s">
        <v>32</v>
      </c>
      <c r="G75" t="s">
        <v>35</v>
      </c>
      <c r="H75">
        <v>0.05</v>
      </c>
      <c r="I75" t="s">
        <v>38</v>
      </c>
      <c r="J75">
        <v>2418.6239999999998</v>
      </c>
      <c r="K75" t="s">
        <v>45</v>
      </c>
      <c r="M75">
        <v>0</v>
      </c>
      <c r="N75" t="s">
        <v>124</v>
      </c>
      <c r="O75" t="s">
        <v>1624</v>
      </c>
      <c r="P75">
        <v>33.520000000000003</v>
      </c>
      <c r="Q75" s="1">
        <v>45220</v>
      </c>
      <c r="R75" s="1">
        <v>45227</v>
      </c>
      <c r="S75" t="s">
        <v>2923</v>
      </c>
    </row>
    <row r="76" spans="1:19" x14ac:dyDescent="0.3">
      <c r="A76" s="1">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1">
        <v>45305</v>
      </c>
      <c r="R76" s="1">
        <v>45311</v>
      </c>
      <c r="S76" t="s">
        <v>2925</v>
      </c>
    </row>
    <row r="77" spans="1:19" x14ac:dyDescent="0.3">
      <c r="A77" s="1">
        <v>45134</v>
      </c>
      <c r="B77" t="s">
        <v>22</v>
      </c>
      <c r="C77" t="s">
        <v>26</v>
      </c>
      <c r="D77">
        <v>10</v>
      </c>
      <c r="E77">
        <v>553.91</v>
      </c>
      <c r="F77" t="s">
        <v>34</v>
      </c>
      <c r="G77" t="s">
        <v>35</v>
      </c>
      <c r="H77">
        <v>0.1</v>
      </c>
      <c r="I77" t="s">
        <v>37</v>
      </c>
      <c r="J77">
        <v>4985.1899999999996</v>
      </c>
      <c r="K77" t="s">
        <v>43</v>
      </c>
      <c r="M77">
        <v>0</v>
      </c>
      <c r="N77" t="s">
        <v>126</v>
      </c>
      <c r="O77" t="s">
        <v>1626</v>
      </c>
      <c r="P77">
        <v>31.3</v>
      </c>
      <c r="Q77" s="1">
        <v>45134</v>
      </c>
      <c r="R77" s="1">
        <v>45138</v>
      </c>
      <c r="S77" t="s">
        <v>2925</v>
      </c>
    </row>
    <row r="78" spans="1:19" x14ac:dyDescent="0.3">
      <c r="A78" s="1">
        <v>45588</v>
      </c>
      <c r="B78" t="s">
        <v>20</v>
      </c>
      <c r="C78" t="s">
        <v>25</v>
      </c>
      <c r="D78">
        <v>14</v>
      </c>
      <c r="E78">
        <v>445.52</v>
      </c>
      <c r="F78" t="s">
        <v>31</v>
      </c>
      <c r="G78" t="s">
        <v>36</v>
      </c>
      <c r="H78">
        <v>0.1</v>
      </c>
      <c r="I78" t="s">
        <v>42</v>
      </c>
      <c r="J78">
        <v>5613.5519999999997</v>
      </c>
      <c r="K78" t="s">
        <v>43</v>
      </c>
      <c r="L78" t="s">
        <v>49</v>
      </c>
      <c r="M78">
        <v>0</v>
      </c>
      <c r="N78" t="s">
        <v>127</v>
      </c>
      <c r="O78" t="s">
        <v>1627</v>
      </c>
      <c r="P78">
        <v>14.41</v>
      </c>
      <c r="Q78" s="1">
        <v>45588</v>
      </c>
      <c r="R78" s="1">
        <v>45590</v>
      </c>
      <c r="S78" t="s">
        <v>2923</v>
      </c>
    </row>
    <row r="79" spans="1:19" x14ac:dyDescent="0.3">
      <c r="A79" s="1">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1">
        <v>45195</v>
      </c>
      <c r="R79" s="1">
        <v>45200</v>
      </c>
      <c r="S79" t="s">
        <v>2923</v>
      </c>
    </row>
    <row r="80" spans="1:19" x14ac:dyDescent="0.3">
      <c r="A80" s="1">
        <v>45276</v>
      </c>
      <c r="B80" t="s">
        <v>19</v>
      </c>
      <c r="C80" t="s">
        <v>25</v>
      </c>
      <c r="D80">
        <v>13</v>
      </c>
      <c r="E80">
        <v>241.4</v>
      </c>
      <c r="F80" t="s">
        <v>34</v>
      </c>
      <c r="G80" t="s">
        <v>36</v>
      </c>
      <c r="H80">
        <v>0</v>
      </c>
      <c r="I80" t="s">
        <v>40</v>
      </c>
      <c r="J80">
        <v>3138.2</v>
      </c>
      <c r="K80" t="s">
        <v>44</v>
      </c>
      <c r="L80" t="s">
        <v>49</v>
      </c>
      <c r="M80">
        <v>0</v>
      </c>
      <c r="N80" t="s">
        <v>129</v>
      </c>
      <c r="O80" t="s">
        <v>1629</v>
      </c>
      <c r="P80">
        <v>49.05</v>
      </c>
      <c r="Q80" s="1">
        <v>45276</v>
      </c>
      <c r="R80" s="1">
        <v>45280</v>
      </c>
      <c r="S80" t="s">
        <v>2922</v>
      </c>
    </row>
    <row r="81" spans="1:19" x14ac:dyDescent="0.3">
      <c r="A81" s="1">
        <v>45293</v>
      </c>
      <c r="B81" t="s">
        <v>22</v>
      </c>
      <c r="C81" t="s">
        <v>30</v>
      </c>
      <c r="D81">
        <v>19</v>
      </c>
      <c r="E81">
        <v>351.93</v>
      </c>
      <c r="F81" t="s">
        <v>32</v>
      </c>
      <c r="G81" t="s">
        <v>35</v>
      </c>
      <c r="H81">
        <v>0</v>
      </c>
      <c r="I81" t="s">
        <v>38</v>
      </c>
      <c r="J81">
        <v>6686.67</v>
      </c>
      <c r="K81" t="s">
        <v>45</v>
      </c>
      <c r="M81">
        <v>0</v>
      </c>
      <c r="N81" t="s">
        <v>130</v>
      </c>
      <c r="O81" t="s">
        <v>1630</v>
      </c>
      <c r="P81">
        <v>39.979999999999997</v>
      </c>
      <c r="Q81" s="1">
        <v>45293</v>
      </c>
      <c r="R81" s="1">
        <v>45296</v>
      </c>
      <c r="S81" t="s">
        <v>2925</v>
      </c>
    </row>
    <row r="82" spans="1:19" x14ac:dyDescent="0.3">
      <c r="A82" s="1">
        <v>45338</v>
      </c>
      <c r="B82" t="s">
        <v>21</v>
      </c>
      <c r="C82" t="s">
        <v>25</v>
      </c>
      <c r="D82">
        <v>4</v>
      </c>
      <c r="E82">
        <v>83.75</v>
      </c>
      <c r="F82" t="s">
        <v>32</v>
      </c>
      <c r="G82" t="s">
        <v>36</v>
      </c>
      <c r="H82">
        <v>0.05</v>
      </c>
      <c r="I82" t="s">
        <v>38</v>
      </c>
      <c r="J82">
        <v>318.25</v>
      </c>
      <c r="K82" t="s">
        <v>46</v>
      </c>
      <c r="L82" t="s">
        <v>49</v>
      </c>
      <c r="M82">
        <v>1</v>
      </c>
      <c r="N82" t="s">
        <v>131</v>
      </c>
      <c r="O82" t="s">
        <v>1631</v>
      </c>
      <c r="P82">
        <v>38.82</v>
      </c>
      <c r="Q82" s="1">
        <v>45338</v>
      </c>
      <c r="R82" s="1">
        <v>45347</v>
      </c>
      <c r="S82" t="s">
        <v>2924</v>
      </c>
    </row>
    <row r="83" spans="1:19" x14ac:dyDescent="0.3">
      <c r="A83" s="1">
        <v>45415</v>
      </c>
      <c r="B83" t="s">
        <v>19</v>
      </c>
      <c r="C83" t="s">
        <v>28</v>
      </c>
      <c r="D83">
        <v>5</v>
      </c>
      <c r="E83">
        <v>416.95</v>
      </c>
      <c r="F83" t="s">
        <v>32</v>
      </c>
      <c r="G83" t="s">
        <v>35</v>
      </c>
      <c r="H83">
        <v>0.15</v>
      </c>
      <c r="I83" t="s">
        <v>39</v>
      </c>
      <c r="J83">
        <v>1772.0374999999999</v>
      </c>
      <c r="K83" t="s">
        <v>43</v>
      </c>
      <c r="M83">
        <v>1</v>
      </c>
      <c r="N83" t="s">
        <v>132</v>
      </c>
      <c r="O83" t="s">
        <v>1632</v>
      </c>
      <c r="P83">
        <v>24.03</v>
      </c>
      <c r="Q83" s="1">
        <v>45415</v>
      </c>
      <c r="R83" s="1">
        <v>45424</v>
      </c>
      <c r="S83" t="s">
        <v>2922</v>
      </c>
    </row>
    <row r="84" spans="1:19" x14ac:dyDescent="0.3">
      <c r="A84" s="1">
        <v>45073</v>
      </c>
      <c r="B84" t="s">
        <v>23</v>
      </c>
      <c r="C84" t="s">
        <v>28</v>
      </c>
      <c r="D84">
        <v>18</v>
      </c>
      <c r="E84">
        <v>142.43</v>
      </c>
      <c r="F84" t="s">
        <v>33</v>
      </c>
      <c r="G84" t="s">
        <v>36</v>
      </c>
      <c r="H84">
        <v>0.05</v>
      </c>
      <c r="I84" t="s">
        <v>42</v>
      </c>
      <c r="J84">
        <v>2435.5529999999999</v>
      </c>
      <c r="K84" t="s">
        <v>45</v>
      </c>
      <c r="L84" t="s">
        <v>49</v>
      </c>
      <c r="M84">
        <v>1</v>
      </c>
      <c r="N84" t="s">
        <v>133</v>
      </c>
      <c r="O84" t="s">
        <v>1633</v>
      </c>
      <c r="P84">
        <v>12.38</v>
      </c>
      <c r="Q84" s="1">
        <v>45073</v>
      </c>
      <c r="R84" s="1">
        <v>45079</v>
      </c>
      <c r="S84" t="s">
        <v>2926</v>
      </c>
    </row>
    <row r="85" spans="1:19" x14ac:dyDescent="0.3">
      <c r="A85" s="1">
        <v>44931</v>
      </c>
      <c r="B85" t="s">
        <v>19</v>
      </c>
      <c r="C85" t="s">
        <v>26</v>
      </c>
      <c r="D85">
        <v>12</v>
      </c>
      <c r="E85">
        <v>582.52</v>
      </c>
      <c r="F85" t="s">
        <v>32</v>
      </c>
      <c r="G85" t="s">
        <v>35</v>
      </c>
      <c r="H85">
        <v>0</v>
      </c>
      <c r="I85" t="s">
        <v>42</v>
      </c>
      <c r="J85">
        <v>6990.24</v>
      </c>
      <c r="K85" t="s">
        <v>45</v>
      </c>
      <c r="L85" t="s">
        <v>48</v>
      </c>
      <c r="M85">
        <v>0</v>
      </c>
      <c r="N85" t="s">
        <v>134</v>
      </c>
      <c r="O85" t="s">
        <v>1634</v>
      </c>
      <c r="P85">
        <v>41.16</v>
      </c>
      <c r="Q85" s="1">
        <v>44931</v>
      </c>
      <c r="R85" s="1">
        <v>44937</v>
      </c>
      <c r="S85" t="s">
        <v>2922</v>
      </c>
    </row>
    <row r="86" spans="1:19" x14ac:dyDescent="0.3">
      <c r="A86" s="1">
        <v>45798</v>
      </c>
      <c r="B86" t="s">
        <v>19</v>
      </c>
      <c r="C86" t="s">
        <v>27</v>
      </c>
      <c r="D86">
        <v>20</v>
      </c>
      <c r="E86">
        <v>129.56</v>
      </c>
      <c r="F86" t="s">
        <v>32</v>
      </c>
      <c r="G86" t="s">
        <v>36</v>
      </c>
      <c r="H86">
        <v>0.15</v>
      </c>
      <c r="I86" t="s">
        <v>41</v>
      </c>
      <c r="J86">
        <v>2202.52</v>
      </c>
      <c r="K86" t="s">
        <v>43</v>
      </c>
      <c r="L86" t="s">
        <v>50</v>
      </c>
      <c r="M86">
        <v>0</v>
      </c>
      <c r="N86" t="s">
        <v>135</v>
      </c>
      <c r="O86" t="s">
        <v>1635</v>
      </c>
      <c r="P86">
        <v>40.21</v>
      </c>
      <c r="Q86" s="1">
        <v>45798</v>
      </c>
      <c r="R86" s="1">
        <v>45800</v>
      </c>
      <c r="S86" t="s">
        <v>2922</v>
      </c>
    </row>
    <row r="87" spans="1:19" x14ac:dyDescent="0.3">
      <c r="A87" s="1">
        <v>45128</v>
      </c>
      <c r="B87" t="s">
        <v>22</v>
      </c>
      <c r="C87" t="s">
        <v>29</v>
      </c>
      <c r="D87">
        <v>17</v>
      </c>
      <c r="E87">
        <v>431.82</v>
      </c>
      <c r="F87" t="s">
        <v>31</v>
      </c>
      <c r="G87" t="s">
        <v>36</v>
      </c>
      <c r="H87">
        <v>0</v>
      </c>
      <c r="I87" t="s">
        <v>37</v>
      </c>
      <c r="J87">
        <v>7340.94</v>
      </c>
      <c r="K87" t="s">
        <v>44</v>
      </c>
      <c r="L87" t="s">
        <v>48</v>
      </c>
      <c r="M87">
        <v>1</v>
      </c>
      <c r="N87" t="s">
        <v>136</v>
      </c>
      <c r="O87" t="s">
        <v>1636</v>
      </c>
      <c r="P87">
        <v>37.75</v>
      </c>
      <c r="Q87" s="1">
        <v>45128</v>
      </c>
      <c r="R87" s="1">
        <v>45132</v>
      </c>
      <c r="S87" t="s">
        <v>2925</v>
      </c>
    </row>
    <row r="88" spans="1:19" x14ac:dyDescent="0.3">
      <c r="A88" s="1">
        <v>45802</v>
      </c>
      <c r="B88" t="s">
        <v>19</v>
      </c>
      <c r="C88" t="s">
        <v>24</v>
      </c>
      <c r="D88">
        <v>15</v>
      </c>
      <c r="E88">
        <v>15.85</v>
      </c>
      <c r="F88" t="s">
        <v>33</v>
      </c>
      <c r="G88" t="s">
        <v>36</v>
      </c>
      <c r="H88">
        <v>0</v>
      </c>
      <c r="I88" t="s">
        <v>42</v>
      </c>
      <c r="J88">
        <v>237.75</v>
      </c>
      <c r="K88" t="s">
        <v>46</v>
      </c>
      <c r="L88" t="s">
        <v>50</v>
      </c>
      <c r="M88">
        <v>0</v>
      </c>
      <c r="N88" t="s">
        <v>137</v>
      </c>
      <c r="O88" t="s">
        <v>1637</v>
      </c>
      <c r="P88">
        <v>23.49</v>
      </c>
      <c r="Q88" s="1">
        <v>45802</v>
      </c>
      <c r="R88" s="1">
        <v>45811</v>
      </c>
      <c r="S88" t="s">
        <v>2922</v>
      </c>
    </row>
    <row r="89" spans="1:19" x14ac:dyDescent="0.3">
      <c r="A89" s="1">
        <v>45612</v>
      </c>
      <c r="B89" t="s">
        <v>20</v>
      </c>
      <c r="C89" t="s">
        <v>29</v>
      </c>
      <c r="D89">
        <v>20</v>
      </c>
      <c r="E89">
        <v>548.34</v>
      </c>
      <c r="F89" t="s">
        <v>31</v>
      </c>
      <c r="G89" t="s">
        <v>36</v>
      </c>
      <c r="H89">
        <v>0.1</v>
      </c>
      <c r="I89" t="s">
        <v>42</v>
      </c>
      <c r="J89">
        <v>9870.1200000000008</v>
      </c>
      <c r="K89" t="s">
        <v>44</v>
      </c>
      <c r="L89" t="s">
        <v>50</v>
      </c>
      <c r="M89">
        <v>0</v>
      </c>
      <c r="N89" t="s">
        <v>138</v>
      </c>
      <c r="O89" t="s">
        <v>1638</v>
      </c>
      <c r="P89">
        <v>33.47</v>
      </c>
      <c r="Q89" s="1">
        <v>45612</v>
      </c>
      <c r="R89" s="1">
        <v>45618</v>
      </c>
      <c r="S89" t="s">
        <v>2923</v>
      </c>
    </row>
    <row r="90" spans="1:19" x14ac:dyDescent="0.3">
      <c r="A90" s="1">
        <v>45249</v>
      </c>
      <c r="B90" t="s">
        <v>21</v>
      </c>
      <c r="C90" t="s">
        <v>24</v>
      </c>
      <c r="D90">
        <v>16</v>
      </c>
      <c r="E90">
        <v>525.83000000000004</v>
      </c>
      <c r="F90" t="s">
        <v>33</v>
      </c>
      <c r="G90" t="s">
        <v>35</v>
      </c>
      <c r="H90">
        <v>0.05</v>
      </c>
      <c r="I90" t="s">
        <v>39</v>
      </c>
      <c r="J90">
        <v>7992.616</v>
      </c>
      <c r="K90" t="s">
        <v>43</v>
      </c>
      <c r="M90">
        <v>0</v>
      </c>
      <c r="N90" t="s">
        <v>139</v>
      </c>
      <c r="O90" t="s">
        <v>1639</v>
      </c>
      <c r="P90">
        <v>36.47</v>
      </c>
      <c r="Q90" s="1">
        <v>45249</v>
      </c>
      <c r="R90" s="1">
        <v>45255</v>
      </c>
      <c r="S90" t="s">
        <v>2924</v>
      </c>
    </row>
    <row r="91" spans="1:19" x14ac:dyDescent="0.3">
      <c r="A91" s="1">
        <v>45669</v>
      </c>
      <c r="B91" t="s">
        <v>22</v>
      </c>
      <c r="C91" t="s">
        <v>24</v>
      </c>
      <c r="D91">
        <v>15</v>
      </c>
      <c r="E91">
        <v>411.38</v>
      </c>
      <c r="F91" t="s">
        <v>32</v>
      </c>
      <c r="G91" t="s">
        <v>35</v>
      </c>
      <c r="H91">
        <v>0.05</v>
      </c>
      <c r="I91" t="s">
        <v>42</v>
      </c>
      <c r="J91">
        <v>5862.165</v>
      </c>
      <c r="K91" t="s">
        <v>43</v>
      </c>
      <c r="L91" t="s">
        <v>49</v>
      </c>
      <c r="M91">
        <v>0</v>
      </c>
      <c r="N91" t="s">
        <v>140</v>
      </c>
      <c r="O91" t="s">
        <v>1640</v>
      </c>
      <c r="P91">
        <v>48.51</v>
      </c>
      <c r="Q91" s="1">
        <v>45669</v>
      </c>
      <c r="R91" s="1">
        <v>45678</v>
      </c>
      <c r="S91" t="s">
        <v>2925</v>
      </c>
    </row>
    <row r="92" spans="1:19" x14ac:dyDescent="0.3">
      <c r="A92" s="1">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1">
        <v>45014</v>
      </c>
      <c r="R92" s="1">
        <v>45019</v>
      </c>
      <c r="S92" t="s">
        <v>2924</v>
      </c>
    </row>
    <row r="93" spans="1:19" x14ac:dyDescent="0.3">
      <c r="A93" s="1">
        <v>45717</v>
      </c>
      <c r="B93" t="s">
        <v>21</v>
      </c>
      <c r="C93" t="s">
        <v>26</v>
      </c>
      <c r="D93">
        <v>8</v>
      </c>
      <c r="E93">
        <v>179.9</v>
      </c>
      <c r="F93" t="s">
        <v>33</v>
      </c>
      <c r="G93" t="s">
        <v>36</v>
      </c>
      <c r="H93">
        <v>0.05</v>
      </c>
      <c r="I93" t="s">
        <v>40</v>
      </c>
      <c r="J93">
        <v>1367.24</v>
      </c>
      <c r="K93" t="s">
        <v>43</v>
      </c>
      <c r="L93" t="s">
        <v>49</v>
      </c>
      <c r="M93">
        <v>0</v>
      </c>
      <c r="N93" t="s">
        <v>142</v>
      </c>
      <c r="O93" t="s">
        <v>1642</v>
      </c>
      <c r="P93">
        <v>14.8</v>
      </c>
      <c r="Q93" s="1">
        <v>45717</v>
      </c>
      <c r="R93" s="1">
        <v>45721</v>
      </c>
      <c r="S93" t="s">
        <v>2924</v>
      </c>
    </row>
    <row r="94" spans="1:19" x14ac:dyDescent="0.3">
      <c r="A94" s="1">
        <v>45217</v>
      </c>
      <c r="B94" t="s">
        <v>21</v>
      </c>
      <c r="C94" t="s">
        <v>27</v>
      </c>
      <c r="D94">
        <v>12</v>
      </c>
      <c r="E94">
        <v>494.15</v>
      </c>
      <c r="F94" t="s">
        <v>31</v>
      </c>
      <c r="G94" t="s">
        <v>35</v>
      </c>
      <c r="H94">
        <v>0.15</v>
      </c>
      <c r="I94" t="s">
        <v>41</v>
      </c>
      <c r="J94">
        <v>5040.329999999999</v>
      </c>
      <c r="K94" t="s">
        <v>43</v>
      </c>
      <c r="L94" t="s">
        <v>49</v>
      </c>
      <c r="M94">
        <v>1</v>
      </c>
      <c r="N94" t="s">
        <v>143</v>
      </c>
      <c r="O94" t="s">
        <v>1643</v>
      </c>
      <c r="P94">
        <v>18.05</v>
      </c>
      <c r="Q94" s="1">
        <v>45217</v>
      </c>
      <c r="R94" s="1">
        <v>45219</v>
      </c>
      <c r="S94" t="s">
        <v>2924</v>
      </c>
    </row>
    <row r="95" spans="1:19" x14ac:dyDescent="0.3">
      <c r="A95" s="1">
        <v>45760</v>
      </c>
      <c r="B95" t="s">
        <v>19</v>
      </c>
      <c r="C95" t="s">
        <v>26</v>
      </c>
      <c r="D95">
        <v>10</v>
      </c>
      <c r="E95">
        <v>462.99</v>
      </c>
      <c r="F95" t="s">
        <v>33</v>
      </c>
      <c r="G95" t="s">
        <v>35</v>
      </c>
      <c r="H95">
        <v>0</v>
      </c>
      <c r="I95" t="s">
        <v>42</v>
      </c>
      <c r="J95">
        <v>4629.8999999999996</v>
      </c>
      <c r="K95" t="s">
        <v>45</v>
      </c>
      <c r="L95" t="s">
        <v>50</v>
      </c>
      <c r="M95">
        <v>0</v>
      </c>
      <c r="N95" t="s">
        <v>144</v>
      </c>
      <c r="O95" t="s">
        <v>1644</v>
      </c>
      <c r="P95">
        <v>5.01</v>
      </c>
      <c r="Q95" s="1">
        <v>45760</v>
      </c>
      <c r="R95" s="1">
        <v>45762</v>
      </c>
      <c r="S95" t="s">
        <v>2922</v>
      </c>
    </row>
    <row r="96" spans="1:19" x14ac:dyDescent="0.3">
      <c r="A96" s="1">
        <v>45790</v>
      </c>
      <c r="B96" t="s">
        <v>22</v>
      </c>
      <c r="C96" t="s">
        <v>24</v>
      </c>
      <c r="D96">
        <v>7</v>
      </c>
      <c r="E96">
        <v>460.24</v>
      </c>
      <c r="F96" t="s">
        <v>32</v>
      </c>
      <c r="G96" t="s">
        <v>36</v>
      </c>
      <c r="H96">
        <v>0.05</v>
      </c>
      <c r="I96" t="s">
        <v>38</v>
      </c>
      <c r="J96">
        <v>3060.596</v>
      </c>
      <c r="K96" t="s">
        <v>47</v>
      </c>
      <c r="L96" t="s">
        <v>49</v>
      </c>
      <c r="M96">
        <v>1</v>
      </c>
      <c r="N96" t="s">
        <v>145</v>
      </c>
      <c r="O96" t="s">
        <v>1645</v>
      </c>
      <c r="P96">
        <v>11.54</v>
      </c>
      <c r="Q96" s="1">
        <v>45790</v>
      </c>
      <c r="R96" s="1">
        <v>45800</v>
      </c>
      <c r="S96" t="s">
        <v>2925</v>
      </c>
    </row>
    <row r="97" spans="1:19" x14ac:dyDescent="0.3">
      <c r="A97" s="1">
        <v>45403</v>
      </c>
      <c r="B97" t="s">
        <v>23</v>
      </c>
      <c r="C97" t="s">
        <v>30</v>
      </c>
      <c r="D97">
        <v>17</v>
      </c>
      <c r="E97">
        <v>309.52</v>
      </c>
      <c r="F97" t="s">
        <v>31</v>
      </c>
      <c r="G97" t="s">
        <v>35</v>
      </c>
      <c r="H97">
        <v>0.05</v>
      </c>
      <c r="I97" t="s">
        <v>37</v>
      </c>
      <c r="J97">
        <v>4998.7479999999996</v>
      </c>
      <c r="K97" t="s">
        <v>43</v>
      </c>
      <c r="L97" t="s">
        <v>48</v>
      </c>
      <c r="M97">
        <v>0</v>
      </c>
      <c r="N97" t="s">
        <v>146</v>
      </c>
      <c r="O97" t="s">
        <v>1646</v>
      </c>
      <c r="P97">
        <v>6.11</v>
      </c>
      <c r="Q97" s="1">
        <v>45403</v>
      </c>
      <c r="R97" s="1">
        <v>45409</v>
      </c>
      <c r="S97" t="s">
        <v>2926</v>
      </c>
    </row>
    <row r="98" spans="1:19" x14ac:dyDescent="0.3">
      <c r="A98" s="1">
        <v>45688</v>
      </c>
      <c r="B98" t="s">
        <v>22</v>
      </c>
      <c r="C98" t="s">
        <v>28</v>
      </c>
      <c r="D98">
        <v>1</v>
      </c>
      <c r="E98">
        <v>323.83</v>
      </c>
      <c r="F98" t="s">
        <v>31</v>
      </c>
      <c r="G98" t="s">
        <v>35</v>
      </c>
      <c r="H98">
        <v>0.05</v>
      </c>
      <c r="I98" t="s">
        <v>37</v>
      </c>
      <c r="J98">
        <v>307.63850000000002</v>
      </c>
      <c r="K98" t="s">
        <v>45</v>
      </c>
      <c r="L98" t="s">
        <v>50</v>
      </c>
      <c r="M98">
        <v>0</v>
      </c>
      <c r="N98" t="s">
        <v>147</v>
      </c>
      <c r="O98" t="s">
        <v>1647</v>
      </c>
      <c r="P98">
        <v>27.48</v>
      </c>
      <c r="Q98" s="1">
        <v>45688</v>
      </c>
      <c r="R98" s="1">
        <v>45696</v>
      </c>
      <c r="S98" t="s">
        <v>2925</v>
      </c>
    </row>
    <row r="99" spans="1:19" x14ac:dyDescent="0.3">
      <c r="A99" s="1">
        <v>45730</v>
      </c>
      <c r="B99" t="s">
        <v>22</v>
      </c>
      <c r="C99" t="s">
        <v>27</v>
      </c>
      <c r="D99">
        <v>10</v>
      </c>
      <c r="E99">
        <v>503.07</v>
      </c>
      <c r="F99" t="s">
        <v>33</v>
      </c>
      <c r="G99" t="s">
        <v>36</v>
      </c>
      <c r="H99">
        <v>0</v>
      </c>
      <c r="I99" t="s">
        <v>42</v>
      </c>
      <c r="J99">
        <v>5030.7</v>
      </c>
      <c r="K99" t="s">
        <v>45</v>
      </c>
      <c r="L99" t="s">
        <v>48</v>
      </c>
      <c r="M99">
        <v>0</v>
      </c>
      <c r="N99" t="s">
        <v>148</v>
      </c>
      <c r="O99" t="s">
        <v>1648</v>
      </c>
      <c r="P99">
        <v>44.61</v>
      </c>
      <c r="Q99" s="1">
        <v>45730</v>
      </c>
      <c r="R99" s="1">
        <v>45735</v>
      </c>
      <c r="S99" t="s">
        <v>2925</v>
      </c>
    </row>
    <row r="100" spans="1:19" x14ac:dyDescent="0.3">
      <c r="A100" s="1">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1">
        <v>45438</v>
      </c>
      <c r="R100" s="1">
        <v>45441</v>
      </c>
      <c r="S100" t="s">
        <v>2926</v>
      </c>
    </row>
    <row r="101" spans="1:19" x14ac:dyDescent="0.3">
      <c r="A101" s="1">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1">
        <v>45129</v>
      </c>
      <c r="R101" s="1">
        <v>45133</v>
      </c>
      <c r="S101" t="s">
        <v>2924</v>
      </c>
    </row>
    <row r="102" spans="1:19" x14ac:dyDescent="0.3">
      <c r="A102" s="1">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1">
        <v>45372</v>
      </c>
      <c r="R102" s="1">
        <v>45381</v>
      </c>
      <c r="S102" t="s">
        <v>2924</v>
      </c>
    </row>
    <row r="103" spans="1:19" x14ac:dyDescent="0.3">
      <c r="A103" s="1">
        <v>45021</v>
      </c>
      <c r="B103" t="s">
        <v>23</v>
      </c>
      <c r="C103" t="s">
        <v>30</v>
      </c>
      <c r="D103">
        <v>3</v>
      </c>
      <c r="E103">
        <v>221</v>
      </c>
      <c r="F103" t="s">
        <v>31</v>
      </c>
      <c r="G103" t="s">
        <v>35</v>
      </c>
      <c r="H103">
        <v>0</v>
      </c>
      <c r="I103" t="s">
        <v>39</v>
      </c>
      <c r="J103">
        <v>663</v>
      </c>
      <c r="K103" t="s">
        <v>47</v>
      </c>
      <c r="L103" t="s">
        <v>48</v>
      </c>
      <c r="M103">
        <v>0</v>
      </c>
      <c r="N103" t="s">
        <v>152</v>
      </c>
      <c r="O103" t="s">
        <v>1652</v>
      </c>
      <c r="P103">
        <v>32.31</v>
      </c>
      <c r="Q103" s="1">
        <v>45021</v>
      </c>
      <c r="R103" s="1">
        <v>45024</v>
      </c>
      <c r="S103" t="s">
        <v>2926</v>
      </c>
    </row>
    <row r="104" spans="1:19" x14ac:dyDescent="0.3">
      <c r="A104" s="1">
        <v>45530</v>
      </c>
      <c r="B104" t="s">
        <v>19</v>
      </c>
      <c r="C104" t="s">
        <v>28</v>
      </c>
      <c r="D104">
        <v>6</v>
      </c>
      <c r="E104">
        <v>188.45</v>
      </c>
      <c r="F104" t="s">
        <v>33</v>
      </c>
      <c r="G104" t="s">
        <v>35</v>
      </c>
      <c r="H104">
        <v>0.05</v>
      </c>
      <c r="I104" t="s">
        <v>38</v>
      </c>
      <c r="J104">
        <v>1074.165</v>
      </c>
      <c r="K104" t="s">
        <v>44</v>
      </c>
      <c r="M104">
        <v>0</v>
      </c>
      <c r="N104" t="s">
        <v>153</v>
      </c>
      <c r="O104" t="s">
        <v>1653</v>
      </c>
      <c r="P104">
        <v>6.77</v>
      </c>
      <c r="Q104" s="1">
        <v>45530</v>
      </c>
      <c r="R104" s="1">
        <v>45536</v>
      </c>
      <c r="S104" t="s">
        <v>2922</v>
      </c>
    </row>
    <row r="105" spans="1:19" x14ac:dyDescent="0.3">
      <c r="A105" s="1">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1">
        <v>45480</v>
      </c>
      <c r="R105" s="1">
        <v>45490</v>
      </c>
      <c r="S105" t="s">
        <v>2924</v>
      </c>
    </row>
    <row r="106" spans="1:19" x14ac:dyDescent="0.3">
      <c r="A106" s="1">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1">
        <v>45198</v>
      </c>
      <c r="R106" s="1">
        <v>45207</v>
      </c>
      <c r="S106" t="s">
        <v>2922</v>
      </c>
    </row>
    <row r="107" spans="1:19" x14ac:dyDescent="0.3">
      <c r="A107" s="1">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1">
        <v>45203</v>
      </c>
      <c r="R107" s="1">
        <v>45210</v>
      </c>
      <c r="S107" t="s">
        <v>2926</v>
      </c>
    </row>
    <row r="108" spans="1:19" x14ac:dyDescent="0.3">
      <c r="A108" s="1">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1">
        <v>45817</v>
      </c>
      <c r="R108" s="1">
        <v>45824</v>
      </c>
      <c r="S108" t="s">
        <v>2925</v>
      </c>
    </row>
    <row r="109" spans="1:19" x14ac:dyDescent="0.3">
      <c r="A109" s="1">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1">
        <v>45820</v>
      </c>
      <c r="R109" s="1">
        <v>45822</v>
      </c>
      <c r="S109" t="s">
        <v>2922</v>
      </c>
    </row>
    <row r="110" spans="1:19" x14ac:dyDescent="0.3">
      <c r="A110" s="1">
        <v>45472</v>
      </c>
      <c r="B110" t="s">
        <v>19</v>
      </c>
      <c r="C110" t="s">
        <v>27</v>
      </c>
      <c r="D110">
        <v>3</v>
      </c>
      <c r="E110">
        <v>168.05</v>
      </c>
      <c r="F110" t="s">
        <v>32</v>
      </c>
      <c r="G110" t="s">
        <v>36</v>
      </c>
      <c r="H110">
        <v>0</v>
      </c>
      <c r="I110" t="s">
        <v>40</v>
      </c>
      <c r="J110">
        <v>504.15</v>
      </c>
      <c r="K110" t="s">
        <v>47</v>
      </c>
      <c r="M110">
        <v>1</v>
      </c>
      <c r="N110" t="s">
        <v>159</v>
      </c>
      <c r="O110" t="s">
        <v>1659</v>
      </c>
      <c r="P110">
        <v>21.08</v>
      </c>
      <c r="Q110" s="1">
        <v>45472</v>
      </c>
      <c r="R110" s="1">
        <v>45479</v>
      </c>
      <c r="S110" t="s">
        <v>2922</v>
      </c>
    </row>
    <row r="111" spans="1:19" x14ac:dyDescent="0.3">
      <c r="A111" s="1">
        <v>45374</v>
      </c>
      <c r="B111" t="s">
        <v>21</v>
      </c>
      <c r="C111" t="s">
        <v>30</v>
      </c>
      <c r="D111">
        <v>14</v>
      </c>
      <c r="E111">
        <v>37.54</v>
      </c>
      <c r="F111" t="s">
        <v>31</v>
      </c>
      <c r="G111" t="s">
        <v>36</v>
      </c>
      <c r="H111">
        <v>0.15</v>
      </c>
      <c r="I111" t="s">
        <v>38</v>
      </c>
      <c r="J111">
        <v>446.72599999999989</v>
      </c>
      <c r="K111" t="s">
        <v>45</v>
      </c>
      <c r="M111">
        <v>1</v>
      </c>
      <c r="N111" t="s">
        <v>160</v>
      </c>
      <c r="O111" t="s">
        <v>1660</v>
      </c>
      <c r="P111">
        <v>49.6</v>
      </c>
      <c r="Q111" s="1">
        <v>45374</v>
      </c>
      <c r="R111" s="1">
        <v>45384</v>
      </c>
      <c r="S111" t="s">
        <v>2924</v>
      </c>
    </row>
    <row r="112" spans="1:19" x14ac:dyDescent="0.3">
      <c r="A112" s="1">
        <v>45487</v>
      </c>
      <c r="B112" t="s">
        <v>20</v>
      </c>
      <c r="C112" t="s">
        <v>29</v>
      </c>
      <c r="D112">
        <v>4</v>
      </c>
      <c r="E112">
        <v>151.16</v>
      </c>
      <c r="F112" t="s">
        <v>31</v>
      </c>
      <c r="G112" t="s">
        <v>35</v>
      </c>
      <c r="H112">
        <v>0</v>
      </c>
      <c r="I112" t="s">
        <v>38</v>
      </c>
      <c r="J112">
        <v>604.64</v>
      </c>
      <c r="K112" t="s">
        <v>44</v>
      </c>
      <c r="L112" t="s">
        <v>49</v>
      </c>
      <c r="M112">
        <v>1</v>
      </c>
      <c r="N112" t="s">
        <v>161</v>
      </c>
      <c r="O112" t="s">
        <v>1661</v>
      </c>
      <c r="P112">
        <v>41.4</v>
      </c>
      <c r="Q112" s="1">
        <v>45487</v>
      </c>
      <c r="R112" s="1">
        <v>45494</v>
      </c>
      <c r="S112" t="s">
        <v>2923</v>
      </c>
    </row>
    <row r="113" spans="1:19" x14ac:dyDescent="0.3">
      <c r="A113" s="1">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1">
        <v>45366</v>
      </c>
      <c r="R113" s="1">
        <v>45376</v>
      </c>
      <c r="S113" t="s">
        <v>2923</v>
      </c>
    </row>
    <row r="114" spans="1:19" x14ac:dyDescent="0.3">
      <c r="A114" s="1">
        <v>45766</v>
      </c>
      <c r="B114" t="s">
        <v>22</v>
      </c>
      <c r="C114" t="s">
        <v>27</v>
      </c>
      <c r="D114">
        <v>15</v>
      </c>
      <c r="E114">
        <v>37.33</v>
      </c>
      <c r="F114" t="s">
        <v>31</v>
      </c>
      <c r="G114" t="s">
        <v>36</v>
      </c>
      <c r="H114">
        <v>0.05</v>
      </c>
      <c r="I114" t="s">
        <v>40</v>
      </c>
      <c r="J114">
        <v>531.95249999999987</v>
      </c>
      <c r="K114" t="s">
        <v>47</v>
      </c>
      <c r="M114">
        <v>1</v>
      </c>
      <c r="N114" t="s">
        <v>163</v>
      </c>
      <c r="O114" t="s">
        <v>1663</v>
      </c>
      <c r="P114">
        <v>43.69</v>
      </c>
      <c r="Q114" s="1">
        <v>45766</v>
      </c>
      <c r="R114" s="1">
        <v>45771</v>
      </c>
      <c r="S114" t="s">
        <v>2925</v>
      </c>
    </row>
    <row r="115" spans="1:19" x14ac:dyDescent="0.3">
      <c r="A115" s="1">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1">
        <v>45337</v>
      </c>
      <c r="R115" s="1">
        <v>45342</v>
      </c>
      <c r="S115" t="s">
        <v>2926</v>
      </c>
    </row>
    <row r="116" spans="1:19" x14ac:dyDescent="0.3">
      <c r="A116" s="1">
        <v>45316</v>
      </c>
      <c r="B116" t="s">
        <v>19</v>
      </c>
      <c r="C116" t="s">
        <v>26</v>
      </c>
      <c r="D116">
        <v>5</v>
      </c>
      <c r="E116">
        <v>215.6</v>
      </c>
      <c r="F116" t="s">
        <v>33</v>
      </c>
      <c r="G116" t="s">
        <v>35</v>
      </c>
      <c r="H116">
        <v>0</v>
      </c>
      <c r="I116" t="s">
        <v>39</v>
      </c>
      <c r="J116">
        <v>1078</v>
      </c>
      <c r="K116" t="s">
        <v>43</v>
      </c>
      <c r="L116" t="s">
        <v>50</v>
      </c>
      <c r="M116">
        <v>0</v>
      </c>
      <c r="N116" t="s">
        <v>165</v>
      </c>
      <c r="O116" t="s">
        <v>1665</v>
      </c>
      <c r="P116">
        <v>28.36</v>
      </c>
      <c r="Q116" s="1">
        <v>45316</v>
      </c>
      <c r="R116" s="1">
        <v>45326</v>
      </c>
      <c r="S116" t="s">
        <v>2922</v>
      </c>
    </row>
    <row r="117" spans="1:19" x14ac:dyDescent="0.3">
      <c r="A117" s="1">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1">
        <v>45762</v>
      </c>
      <c r="R117" s="1">
        <v>45770</v>
      </c>
      <c r="S117" t="s">
        <v>2925</v>
      </c>
    </row>
    <row r="118" spans="1:19" x14ac:dyDescent="0.3">
      <c r="A118" s="1">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1">
        <v>45762</v>
      </c>
      <c r="R118" s="1">
        <v>45767</v>
      </c>
      <c r="S118" t="s">
        <v>2925</v>
      </c>
    </row>
    <row r="119" spans="1:19" x14ac:dyDescent="0.3">
      <c r="A119" s="1">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1">
        <v>45515</v>
      </c>
      <c r="R119" s="1">
        <v>45517</v>
      </c>
      <c r="S119" t="s">
        <v>2926</v>
      </c>
    </row>
    <row r="120" spans="1:19" x14ac:dyDescent="0.3">
      <c r="A120" s="1">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1">
        <v>45261</v>
      </c>
      <c r="R120" s="1">
        <v>45268</v>
      </c>
      <c r="S120" t="s">
        <v>2923</v>
      </c>
    </row>
    <row r="121" spans="1:19" x14ac:dyDescent="0.3">
      <c r="A121" s="1">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1">
        <v>45144</v>
      </c>
      <c r="R121" s="1">
        <v>45149</v>
      </c>
      <c r="S121" t="s">
        <v>2925</v>
      </c>
    </row>
    <row r="122" spans="1:19" x14ac:dyDescent="0.3">
      <c r="A122" s="1">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1">
        <v>45315</v>
      </c>
      <c r="R122" s="1">
        <v>45322</v>
      </c>
      <c r="S122" t="s">
        <v>2925</v>
      </c>
    </row>
    <row r="123" spans="1:19" x14ac:dyDescent="0.3">
      <c r="A123" s="1">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1">
        <v>45358</v>
      </c>
      <c r="R123" s="1">
        <v>45364</v>
      </c>
      <c r="S123" t="s">
        <v>2925</v>
      </c>
    </row>
    <row r="124" spans="1:19" x14ac:dyDescent="0.3">
      <c r="A124" s="1">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1">
        <v>45313</v>
      </c>
      <c r="R124" s="1">
        <v>45319</v>
      </c>
      <c r="S124" t="s">
        <v>2923</v>
      </c>
    </row>
    <row r="125" spans="1:19" x14ac:dyDescent="0.3">
      <c r="A125" s="1">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1">
        <v>44980</v>
      </c>
      <c r="R125" s="1">
        <v>44984</v>
      </c>
      <c r="S125" t="s">
        <v>2922</v>
      </c>
    </row>
    <row r="126" spans="1:19" x14ac:dyDescent="0.3">
      <c r="A126" s="1">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1">
        <v>45091</v>
      </c>
      <c r="R126" s="1">
        <v>45099</v>
      </c>
      <c r="S126" t="s">
        <v>2924</v>
      </c>
    </row>
    <row r="127" spans="1:19" x14ac:dyDescent="0.3">
      <c r="A127" s="1">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1">
        <v>45790</v>
      </c>
      <c r="R127" s="1">
        <v>45792</v>
      </c>
      <c r="S127" t="s">
        <v>2924</v>
      </c>
    </row>
    <row r="128" spans="1:19" x14ac:dyDescent="0.3">
      <c r="A128" s="1">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1">
        <v>45503</v>
      </c>
      <c r="R128" s="1">
        <v>45510</v>
      </c>
      <c r="S128" t="s">
        <v>2925</v>
      </c>
    </row>
    <row r="129" spans="1:19" x14ac:dyDescent="0.3">
      <c r="A129" s="1">
        <v>45491</v>
      </c>
      <c r="B129" t="s">
        <v>19</v>
      </c>
      <c r="C129" t="s">
        <v>29</v>
      </c>
      <c r="D129">
        <v>5</v>
      </c>
      <c r="E129">
        <v>23.41</v>
      </c>
      <c r="F129" t="s">
        <v>31</v>
      </c>
      <c r="G129" t="s">
        <v>35</v>
      </c>
      <c r="H129">
        <v>0</v>
      </c>
      <c r="I129" t="s">
        <v>39</v>
      </c>
      <c r="J129">
        <v>117.05</v>
      </c>
      <c r="K129" t="s">
        <v>45</v>
      </c>
      <c r="L129" t="s">
        <v>50</v>
      </c>
      <c r="M129">
        <v>0</v>
      </c>
      <c r="N129" t="s">
        <v>178</v>
      </c>
      <c r="O129" t="s">
        <v>1678</v>
      </c>
      <c r="P129">
        <v>26.44</v>
      </c>
      <c r="Q129" s="1">
        <v>45491</v>
      </c>
      <c r="R129" s="1">
        <v>45500</v>
      </c>
      <c r="S129" t="s">
        <v>2922</v>
      </c>
    </row>
    <row r="130" spans="1:19" x14ac:dyDescent="0.3">
      <c r="A130" s="1">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1">
        <v>45530</v>
      </c>
      <c r="R130" s="1">
        <v>45536</v>
      </c>
      <c r="S130" t="s">
        <v>2922</v>
      </c>
    </row>
    <row r="131" spans="1:19" x14ac:dyDescent="0.3">
      <c r="A131" s="1">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1">
        <v>45816</v>
      </c>
      <c r="R131" s="1">
        <v>45823</v>
      </c>
      <c r="S131" t="s">
        <v>2926</v>
      </c>
    </row>
    <row r="132" spans="1:19" x14ac:dyDescent="0.3">
      <c r="A132" s="1">
        <v>45793</v>
      </c>
      <c r="B132" t="s">
        <v>21</v>
      </c>
      <c r="C132" t="s">
        <v>26</v>
      </c>
      <c r="D132">
        <v>11</v>
      </c>
      <c r="E132">
        <v>465.24</v>
      </c>
      <c r="F132" t="s">
        <v>32</v>
      </c>
      <c r="G132" t="s">
        <v>35</v>
      </c>
      <c r="H132">
        <v>0</v>
      </c>
      <c r="I132" t="s">
        <v>40</v>
      </c>
      <c r="J132">
        <v>5117.6400000000003</v>
      </c>
      <c r="K132" t="s">
        <v>46</v>
      </c>
      <c r="M132">
        <v>1</v>
      </c>
      <c r="N132" t="s">
        <v>181</v>
      </c>
      <c r="O132" t="s">
        <v>1681</v>
      </c>
      <c r="P132">
        <v>17.59</v>
      </c>
      <c r="Q132" s="1">
        <v>45793</v>
      </c>
      <c r="R132" s="1">
        <v>45800</v>
      </c>
      <c r="S132" t="s">
        <v>2924</v>
      </c>
    </row>
    <row r="133" spans="1:19" x14ac:dyDescent="0.3">
      <c r="A133" s="1">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1">
        <v>45491</v>
      </c>
      <c r="R133" s="1">
        <v>45497</v>
      </c>
      <c r="S133" t="s">
        <v>2922</v>
      </c>
    </row>
    <row r="134" spans="1:19" x14ac:dyDescent="0.3">
      <c r="A134" s="1">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1">
        <v>45186</v>
      </c>
      <c r="R134" s="1">
        <v>45195</v>
      </c>
      <c r="S134" t="s">
        <v>2926</v>
      </c>
    </row>
    <row r="135" spans="1:19" x14ac:dyDescent="0.3">
      <c r="A135" s="1">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1">
        <v>44998</v>
      </c>
      <c r="R135" s="1">
        <v>45004</v>
      </c>
      <c r="S135" t="s">
        <v>2922</v>
      </c>
    </row>
    <row r="136" spans="1:19" x14ac:dyDescent="0.3">
      <c r="A136" s="1">
        <v>45014</v>
      </c>
      <c r="B136" t="s">
        <v>20</v>
      </c>
      <c r="C136" t="s">
        <v>27</v>
      </c>
      <c r="D136">
        <v>4</v>
      </c>
      <c r="E136">
        <v>565.29</v>
      </c>
      <c r="F136" t="s">
        <v>34</v>
      </c>
      <c r="G136" t="s">
        <v>35</v>
      </c>
      <c r="H136">
        <v>0.05</v>
      </c>
      <c r="I136" t="s">
        <v>38</v>
      </c>
      <c r="J136">
        <v>2148.1019999999999</v>
      </c>
      <c r="K136" t="s">
        <v>47</v>
      </c>
      <c r="M136">
        <v>0</v>
      </c>
      <c r="N136" t="s">
        <v>185</v>
      </c>
      <c r="O136" t="s">
        <v>1685</v>
      </c>
      <c r="P136">
        <v>27.04</v>
      </c>
      <c r="Q136" s="1">
        <v>45014</v>
      </c>
      <c r="R136" s="1">
        <v>45019</v>
      </c>
      <c r="S136" t="s">
        <v>2923</v>
      </c>
    </row>
    <row r="137" spans="1:19" x14ac:dyDescent="0.3">
      <c r="A137" s="1">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1">
        <v>45121</v>
      </c>
      <c r="R137" s="1">
        <v>45130</v>
      </c>
      <c r="S137" t="s">
        <v>2925</v>
      </c>
    </row>
    <row r="138" spans="1:19" x14ac:dyDescent="0.3">
      <c r="A138" s="1">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1">
        <v>45373</v>
      </c>
      <c r="R138" s="1">
        <v>45382</v>
      </c>
      <c r="S138" t="s">
        <v>2926</v>
      </c>
    </row>
    <row r="139" spans="1:19" x14ac:dyDescent="0.3">
      <c r="A139" s="1">
        <v>45426</v>
      </c>
      <c r="B139" t="s">
        <v>22</v>
      </c>
      <c r="C139" t="s">
        <v>24</v>
      </c>
      <c r="D139">
        <v>11</v>
      </c>
      <c r="E139">
        <v>229.49</v>
      </c>
      <c r="F139" t="s">
        <v>33</v>
      </c>
      <c r="G139" t="s">
        <v>36</v>
      </c>
      <c r="H139">
        <v>0.1</v>
      </c>
      <c r="I139" t="s">
        <v>42</v>
      </c>
      <c r="J139">
        <v>2271.951</v>
      </c>
      <c r="K139" t="s">
        <v>47</v>
      </c>
      <c r="M139">
        <v>0</v>
      </c>
      <c r="N139" t="s">
        <v>188</v>
      </c>
      <c r="O139" t="s">
        <v>1688</v>
      </c>
      <c r="P139">
        <v>35.39</v>
      </c>
      <c r="Q139" s="1">
        <v>45426</v>
      </c>
      <c r="R139" s="1">
        <v>45429</v>
      </c>
      <c r="S139" t="s">
        <v>2925</v>
      </c>
    </row>
    <row r="140" spans="1:19" x14ac:dyDescent="0.3">
      <c r="A140" s="1">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1">
        <v>45076</v>
      </c>
      <c r="R140" s="1">
        <v>45079</v>
      </c>
      <c r="S140" t="s">
        <v>2925</v>
      </c>
    </row>
    <row r="141" spans="1:19" x14ac:dyDescent="0.3">
      <c r="A141" s="1">
        <v>45004</v>
      </c>
      <c r="B141" t="s">
        <v>21</v>
      </c>
      <c r="C141" t="s">
        <v>25</v>
      </c>
      <c r="D141">
        <v>2</v>
      </c>
      <c r="E141">
        <v>443.51</v>
      </c>
      <c r="F141" t="s">
        <v>33</v>
      </c>
      <c r="G141" t="s">
        <v>35</v>
      </c>
      <c r="H141">
        <v>0.05</v>
      </c>
      <c r="I141" t="s">
        <v>38</v>
      </c>
      <c r="J141">
        <v>842.66899999999998</v>
      </c>
      <c r="K141" t="s">
        <v>47</v>
      </c>
      <c r="M141">
        <v>0</v>
      </c>
      <c r="N141" t="s">
        <v>190</v>
      </c>
      <c r="O141" t="s">
        <v>1690</v>
      </c>
      <c r="P141">
        <v>13.65</v>
      </c>
      <c r="Q141" s="1">
        <v>45004</v>
      </c>
      <c r="R141" s="1">
        <v>45007</v>
      </c>
      <c r="S141" t="s">
        <v>2924</v>
      </c>
    </row>
    <row r="142" spans="1:19" x14ac:dyDescent="0.3">
      <c r="A142" s="1">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1">
        <v>45147</v>
      </c>
      <c r="R142" s="1">
        <v>45152</v>
      </c>
      <c r="S142" t="s">
        <v>2925</v>
      </c>
    </row>
    <row r="143" spans="1:19" x14ac:dyDescent="0.3">
      <c r="A143" s="1">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1">
        <v>45578</v>
      </c>
      <c r="R143" s="1">
        <v>45585</v>
      </c>
      <c r="S143" t="s">
        <v>2924</v>
      </c>
    </row>
    <row r="144" spans="1:19" x14ac:dyDescent="0.3">
      <c r="A144" s="1">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1">
        <v>45705</v>
      </c>
      <c r="R144" s="1">
        <v>45713</v>
      </c>
      <c r="S144" t="s">
        <v>2922</v>
      </c>
    </row>
    <row r="145" spans="1:19" x14ac:dyDescent="0.3">
      <c r="A145" s="1">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1">
        <v>45819</v>
      </c>
      <c r="R145" s="1">
        <v>45828</v>
      </c>
      <c r="S145" t="s">
        <v>2924</v>
      </c>
    </row>
    <row r="146" spans="1:19" x14ac:dyDescent="0.3">
      <c r="A146" s="1">
        <v>45411</v>
      </c>
      <c r="B146" t="s">
        <v>22</v>
      </c>
      <c r="C146" t="s">
        <v>29</v>
      </c>
      <c r="D146">
        <v>4</v>
      </c>
      <c r="E146">
        <v>163.66</v>
      </c>
      <c r="F146" t="s">
        <v>31</v>
      </c>
      <c r="G146" t="s">
        <v>36</v>
      </c>
      <c r="H146">
        <v>0</v>
      </c>
      <c r="I146" t="s">
        <v>42</v>
      </c>
      <c r="J146">
        <v>654.64</v>
      </c>
      <c r="K146" t="s">
        <v>44</v>
      </c>
      <c r="L146" t="s">
        <v>50</v>
      </c>
      <c r="M146">
        <v>1</v>
      </c>
      <c r="N146" t="s">
        <v>195</v>
      </c>
      <c r="O146" t="s">
        <v>1695</v>
      </c>
      <c r="P146">
        <v>31.8</v>
      </c>
      <c r="Q146" s="1">
        <v>45411</v>
      </c>
      <c r="R146" s="1">
        <v>45413</v>
      </c>
      <c r="S146" t="s">
        <v>2925</v>
      </c>
    </row>
    <row r="147" spans="1:19" x14ac:dyDescent="0.3">
      <c r="A147" s="1">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1">
        <v>45003</v>
      </c>
      <c r="R147" s="1">
        <v>45005</v>
      </c>
      <c r="S147" t="s">
        <v>2926</v>
      </c>
    </row>
    <row r="148" spans="1:19" x14ac:dyDescent="0.3">
      <c r="A148" s="1">
        <v>45647</v>
      </c>
      <c r="B148" t="s">
        <v>21</v>
      </c>
      <c r="C148" t="s">
        <v>27</v>
      </c>
      <c r="D148">
        <v>9</v>
      </c>
      <c r="E148">
        <v>380.4</v>
      </c>
      <c r="F148" t="s">
        <v>31</v>
      </c>
      <c r="G148" t="s">
        <v>36</v>
      </c>
      <c r="H148">
        <v>0.1</v>
      </c>
      <c r="I148" t="s">
        <v>40</v>
      </c>
      <c r="J148">
        <v>3081.24</v>
      </c>
      <c r="K148" t="s">
        <v>45</v>
      </c>
      <c r="M148">
        <v>0</v>
      </c>
      <c r="N148" t="s">
        <v>197</v>
      </c>
      <c r="O148" t="s">
        <v>1697</v>
      </c>
      <c r="P148">
        <v>31</v>
      </c>
      <c r="Q148" s="1">
        <v>45647</v>
      </c>
      <c r="R148" s="1">
        <v>45653</v>
      </c>
      <c r="S148" t="s">
        <v>2924</v>
      </c>
    </row>
    <row r="149" spans="1:19" x14ac:dyDescent="0.3">
      <c r="A149" s="1">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1">
        <v>45039</v>
      </c>
      <c r="R149" s="1">
        <v>45048</v>
      </c>
      <c r="S149" t="s">
        <v>2926</v>
      </c>
    </row>
    <row r="150" spans="1:19" x14ac:dyDescent="0.3">
      <c r="A150" s="1">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1">
        <v>45788</v>
      </c>
      <c r="R150" s="1">
        <v>45798</v>
      </c>
      <c r="S150" t="s">
        <v>2925</v>
      </c>
    </row>
    <row r="151" spans="1:19" x14ac:dyDescent="0.3">
      <c r="A151" s="1">
        <v>45354</v>
      </c>
      <c r="B151" t="s">
        <v>20</v>
      </c>
      <c r="C151" t="s">
        <v>25</v>
      </c>
      <c r="D151">
        <v>9</v>
      </c>
      <c r="E151">
        <v>382.8</v>
      </c>
      <c r="F151" t="s">
        <v>34</v>
      </c>
      <c r="G151" t="s">
        <v>35</v>
      </c>
      <c r="H151">
        <v>0</v>
      </c>
      <c r="I151" t="s">
        <v>37</v>
      </c>
      <c r="J151">
        <v>3445.2</v>
      </c>
      <c r="K151" t="s">
        <v>47</v>
      </c>
      <c r="M151">
        <v>0</v>
      </c>
      <c r="N151" t="s">
        <v>200</v>
      </c>
      <c r="O151" t="s">
        <v>1700</v>
      </c>
      <c r="P151">
        <v>47.94</v>
      </c>
      <c r="Q151" s="1">
        <v>45354</v>
      </c>
      <c r="R151" s="1">
        <v>45356</v>
      </c>
      <c r="S151" t="s">
        <v>2923</v>
      </c>
    </row>
    <row r="152" spans="1:19" x14ac:dyDescent="0.3">
      <c r="A152" s="1">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1">
        <v>45677</v>
      </c>
      <c r="R152" s="1">
        <v>45687</v>
      </c>
      <c r="S152" t="s">
        <v>2924</v>
      </c>
    </row>
    <row r="153" spans="1:19" x14ac:dyDescent="0.3">
      <c r="A153" s="1">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1">
        <v>45738</v>
      </c>
      <c r="R153" s="1">
        <v>45746</v>
      </c>
      <c r="S153" t="s">
        <v>2924</v>
      </c>
    </row>
    <row r="154" spans="1:19" x14ac:dyDescent="0.3">
      <c r="A154" s="1">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1">
        <v>45744</v>
      </c>
      <c r="R154" s="1">
        <v>45746</v>
      </c>
      <c r="S154" t="s">
        <v>2923</v>
      </c>
    </row>
    <row r="155" spans="1:19" x14ac:dyDescent="0.3">
      <c r="A155" s="1">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1">
        <v>45705</v>
      </c>
      <c r="R155" s="1">
        <v>45709</v>
      </c>
      <c r="S155" t="s">
        <v>2924</v>
      </c>
    </row>
    <row r="156" spans="1:19" x14ac:dyDescent="0.3">
      <c r="A156" s="1">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1">
        <v>45604</v>
      </c>
      <c r="R156" s="1">
        <v>45607</v>
      </c>
      <c r="S156" t="s">
        <v>2923</v>
      </c>
    </row>
    <row r="157" spans="1:19" x14ac:dyDescent="0.3">
      <c r="A157" s="1">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1">
        <v>45368</v>
      </c>
      <c r="R157" s="1">
        <v>45372</v>
      </c>
      <c r="S157" t="s">
        <v>2923</v>
      </c>
    </row>
    <row r="158" spans="1:19" x14ac:dyDescent="0.3">
      <c r="A158" s="1">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1">
        <v>45167</v>
      </c>
      <c r="R158" s="1">
        <v>45170</v>
      </c>
      <c r="S158" t="s">
        <v>2923</v>
      </c>
    </row>
    <row r="159" spans="1:19" x14ac:dyDescent="0.3">
      <c r="A159" s="1">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1">
        <v>45099</v>
      </c>
      <c r="R159" s="1">
        <v>45107</v>
      </c>
      <c r="S159" t="s">
        <v>2923</v>
      </c>
    </row>
    <row r="160" spans="1:19" x14ac:dyDescent="0.3">
      <c r="A160" s="1">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1">
        <v>45346</v>
      </c>
      <c r="R160" s="1">
        <v>45352</v>
      </c>
      <c r="S160" t="s">
        <v>2923</v>
      </c>
    </row>
    <row r="161" spans="1:19" x14ac:dyDescent="0.3">
      <c r="A161" s="1">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1">
        <v>45392</v>
      </c>
      <c r="R161" s="1">
        <v>45397</v>
      </c>
      <c r="S161" t="s">
        <v>2924</v>
      </c>
    </row>
    <row r="162" spans="1:19" x14ac:dyDescent="0.3">
      <c r="A162" s="1">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1">
        <v>45060</v>
      </c>
      <c r="R162" s="1">
        <v>45065</v>
      </c>
      <c r="S162" t="s">
        <v>2923</v>
      </c>
    </row>
    <row r="163" spans="1:19" x14ac:dyDescent="0.3">
      <c r="A163" s="1">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1">
        <v>44996</v>
      </c>
      <c r="R163" s="1">
        <v>45003</v>
      </c>
      <c r="S163" t="s">
        <v>2923</v>
      </c>
    </row>
    <row r="164" spans="1:19" x14ac:dyDescent="0.3">
      <c r="A164" s="1">
        <v>45528</v>
      </c>
      <c r="B164" t="s">
        <v>22</v>
      </c>
      <c r="C164" t="s">
        <v>30</v>
      </c>
      <c r="D164">
        <v>5</v>
      </c>
      <c r="E164">
        <v>15.92</v>
      </c>
      <c r="F164" t="s">
        <v>34</v>
      </c>
      <c r="G164" t="s">
        <v>36</v>
      </c>
      <c r="H164">
        <v>0</v>
      </c>
      <c r="I164" t="s">
        <v>37</v>
      </c>
      <c r="J164">
        <v>79.599999999999994</v>
      </c>
      <c r="K164" t="s">
        <v>45</v>
      </c>
      <c r="M164">
        <v>1</v>
      </c>
      <c r="N164" t="s">
        <v>213</v>
      </c>
      <c r="O164" t="s">
        <v>1712</v>
      </c>
      <c r="P164">
        <v>8.66</v>
      </c>
      <c r="Q164" s="1">
        <v>45528</v>
      </c>
      <c r="R164" s="1">
        <v>45530</v>
      </c>
      <c r="S164" t="s">
        <v>2925</v>
      </c>
    </row>
    <row r="165" spans="1:19" x14ac:dyDescent="0.3">
      <c r="A165" s="1">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1">
        <v>45345</v>
      </c>
      <c r="R165" s="1">
        <v>45352</v>
      </c>
      <c r="S165" t="s">
        <v>2923</v>
      </c>
    </row>
    <row r="166" spans="1:19" x14ac:dyDescent="0.3">
      <c r="A166" s="1">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1">
        <v>45321</v>
      </c>
      <c r="R166" s="1">
        <v>45328</v>
      </c>
      <c r="S166" t="s">
        <v>2924</v>
      </c>
    </row>
    <row r="167" spans="1:19" x14ac:dyDescent="0.3">
      <c r="A167" s="1">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1">
        <v>45314</v>
      </c>
      <c r="R167" s="1">
        <v>45320</v>
      </c>
      <c r="S167" t="s">
        <v>2922</v>
      </c>
    </row>
    <row r="168" spans="1:19" x14ac:dyDescent="0.3">
      <c r="A168" s="1">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1">
        <v>44931</v>
      </c>
      <c r="R168" s="1">
        <v>44934</v>
      </c>
      <c r="S168" t="s">
        <v>2924</v>
      </c>
    </row>
    <row r="169" spans="1:19" x14ac:dyDescent="0.3">
      <c r="A169" s="1">
        <v>45281</v>
      </c>
      <c r="B169" t="s">
        <v>21</v>
      </c>
      <c r="C169" t="s">
        <v>26</v>
      </c>
      <c r="D169">
        <v>7</v>
      </c>
      <c r="E169">
        <v>284.7</v>
      </c>
      <c r="F169" t="s">
        <v>34</v>
      </c>
      <c r="G169" t="s">
        <v>35</v>
      </c>
      <c r="H169">
        <v>0.05</v>
      </c>
      <c r="I169" t="s">
        <v>42</v>
      </c>
      <c r="J169">
        <v>1893.2550000000001</v>
      </c>
      <c r="K169" t="s">
        <v>44</v>
      </c>
      <c r="M169">
        <v>0</v>
      </c>
      <c r="N169" t="s">
        <v>218</v>
      </c>
      <c r="O169" t="s">
        <v>1717</v>
      </c>
      <c r="P169">
        <v>5.36</v>
      </c>
      <c r="Q169" s="1">
        <v>45281</v>
      </c>
      <c r="R169" s="1">
        <v>45290</v>
      </c>
      <c r="S169" t="s">
        <v>2924</v>
      </c>
    </row>
    <row r="170" spans="1:19" x14ac:dyDescent="0.3">
      <c r="A170" s="1">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1">
        <v>45071</v>
      </c>
      <c r="R170" s="1">
        <v>45079</v>
      </c>
      <c r="S170" t="s">
        <v>2926</v>
      </c>
    </row>
    <row r="171" spans="1:19" x14ac:dyDescent="0.3">
      <c r="A171" s="1">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1">
        <v>45838</v>
      </c>
      <c r="R171" s="1">
        <v>45846</v>
      </c>
      <c r="S171" t="s">
        <v>2925</v>
      </c>
    </row>
    <row r="172" spans="1:19" x14ac:dyDescent="0.3">
      <c r="A172" s="1">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1">
        <v>45700</v>
      </c>
      <c r="R172" s="1">
        <v>45707</v>
      </c>
      <c r="S172" t="s">
        <v>2926</v>
      </c>
    </row>
    <row r="173" spans="1:19" x14ac:dyDescent="0.3">
      <c r="A173" s="1">
        <v>45294</v>
      </c>
      <c r="B173" t="s">
        <v>23</v>
      </c>
      <c r="C173" t="s">
        <v>29</v>
      </c>
      <c r="D173">
        <v>12</v>
      </c>
      <c r="E173">
        <v>164.31</v>
      </c>
      <c r="F173" t="s">
        <v>31</v>
      </c>
      <c r="G173" t="s">
        <v>35</v>
      </c>
      <c r="H173">
        <v>0.1</v>
      </c>
      <c r="I173" t="s">
        <v>37</v>
      </c>
      <c r="J173">
        <v>1774.548</v>
      </c>
      <c r="K173" t="s">
        <v>47</v>
      </c>
      <c r="M173">
        <v>1</v>
      </c>
      <c r="N173" t="s">
        <v>222</v>
      </c>
      <c r="O173" t="s">
        <v>1721</v>
      </c>
      <c r="P173">
        <v>38.9</v>
      </c>
      <c r="Q173" s="1">
        <v>45294</v>
      </c>
      <c r="R173" s="1">
        <v>45298</v>
      </c>
      <c r="S173" t="s">
        <v>2926</v>
      </c>
    </row>
    <row r="174" spans="1:19" x14ac:dyDescent="0.3">
      <c r="A174" s="1">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1">
        <v>44960</v>
      </c>
      <c r="R174" s="1">
        <v>44970</v>
      </c>
      <c r="S174" t="s">
        <v>2923</v>
      </c>
    </row>
    <row r="175" spans="1:19" x14ac:dyDescent="0.3">
      <c r="A175" s="1">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1">
        <v>45352</v>
      </c>
      <c r="R175" s="1">
        <v>45359</v>
      </c>
      <c r="S175" t="s">
        <v>2922</v>
      </c>
    </row>
    <row r="176" spans="1:19" x14ac:dyDescent="0.3">
      <c r="A176" s="1">
        <v>45070</v>
      </c>
      <c r="B176" t="s">
        <v>21</v>
      </c>
      <c r="C176" t="s">
        <v>29</v>
      </c>
      <c r="D176">
        <v>14</v>
      </c>
      <c r="E176">
        <v>207.48</v>
      </c>
      <c r="F176" t="s">
        <v>33</v>
      </c>
      <c r="G176" t="s">
        <v>35</v>
      </c>
      <c r="H176">
        <v>0.05</v>
      </c>
      <c r="I176" t="s">
        <v>37</v>
      </c>
      <c r="J176">
        <v>2759.483999999999</v>
      </c>
      <c r="K176" t="s">
        <v>43</v>
      </c>
      <c r="M176">
        <v>0</v>
      </c>
      <c r="N176" t="s">
        <v>225</v>
      </c>
      <c r="O176" t="s">
        <v>1724</v>
      </c>
      <c r="P176">
        <v>5.7</v>
      </c>
      <c r="Q176" s="1">
        <v>45070</v>
      </c>
      <c r="R176" s="1">
        <v>45079</v>
      </c>
      <c r="S176" t="s">
        <v>2924</v>
      </c>
    </row>
    <row r="177" spans="1:19" x14ac:dyDescent="0.3">
      <c r="A177" s="1">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1">
        <v>45830</v>
      </c>
      <c r="R177" s="1">
        <v>45836</v>
      </c>
      <c r="S177" t="s">
        <v>2924</v>
      </c>
    </row>
    <row r="178" spans="1:19" x14ac:dyDescent="0.3">
      <c r="A178" s="1">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1">
        <v>45026</v>
      </c>
      <c r="R178" s="1">
        <v>45030</v>
      </c>
      <c r="S178" t="s">
        <v>2924</v>
      </c>
    </row>
    <row r="179" spans="1:19" x14ac:dyDescent="0.3">
      <c r="A179" s="1">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1">
        <v>45720</v>
      </c>
      <c r="R179" s="1">
        <v>45726</v>
      </c>
      <c r="S179" t="s">
        <v>2925</v>
      </c>
    </row>
    <row r="180" spans="1:19" x14ac:dyDescent="0.3">
      <c r="A180" s="1">
        <v>45484</v>
      </c>
      <c r="B180" t="s">
        <v>19</v>
      </c>
      <c r="C180" t="s">
        <v>24</v>
      </c>
      <c r="D180">
        <v>6</v>
      </c>
      <c r="E180">
        <v>555.03</v>
      </c>
      <c r="F180" t="s">
        <v>33</v>
      </c>
      <c r="G180" t="s">
        <v>36</v>
      </c>
      <c r="H180">
        <v>0.1</v>
      </c>
      <c r="I180" t="s">
        <v>39</v>
      </c>
      <c r="J180">
        <v>2997.1619999999998</v>
      </c>
      <c r="K180" t="s">
        <v>45</v>
      </c>
      <c r="M180">
        <v>1</v>
      </c>
      <c r="N180" t="s">
        <v>229</v>
      </c>
      <c r="O180" t="s">
        <v>1728</v>
      </c>
      <c r="P180">
        <v>23.69</v>
      </c>
      <c r="Q180" s="1">
        <v>45484</v>
      </c>
      <c r="R180" s="1">
        <v>45493</v>
      </c>
      <c r="S180" t="s">
        <v>2922</v>
      </c>
    </row>
    <row r="181" spans="1:19" x14ac:dyDescent="0.3">
      <c r="A181" s="1">
        <v>45521</v>
      </c>
      <c r="B181" t="s">
        <v>19</v>
      </c>
      <c r="C181" t="s">
        <v>26</v>
      </c>
      <c r="D181">
        <v>13</v>
      </c>
      <c r="E181">
        <v>421.08</v>
      </c>
      <c r="F181" t="s">
        <v>31</v>
      </c>
      <c r="G181" t="s">
        <v>35</v>
      </c>
      <c r="H181">
        <v>0</v>
      </c>
      <c r="I181" t="s">
        <v>42</v>
      </c>
      <c r="J181">
        <v>5474.04</v>
      </c>
      <c r="K181" t="s">
        <v>47</v>
      </c>
      <c r="M181">
        <v>0</v>
      </c>
      <c r="N181" t="s">
        <v>230</v>
      </c>
      <c r="O181" t="s">
        <v>1729</v>
      </c>
      <c r="P181">
        <v>24.51</v>
      </c>
      <c r="Q181" s="1">
        <v>45521</v>
      </c>
      <c r="R181" s="1">
        <v>45524</v>
      </c>
      <c r="S181" t="s">
        <v>2922</v>
      </c>
    </row>
    <row r="182" spans="1:19" x14ac:dyDescent="0.3">
      <c r="A182" s="1">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1">
        <v>45838</v>
      </c>
      <c r="R182" s="1">
        <v>45847</v>
      </c>
      <c r="S182" t="s">
        <v>2924</v>
      </c>
    </row>
    <row r="183" spans="1:19" x14ac:dyDescent="0.3">
      <c r="A183" s="1">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1">
        <v>45602</v>
      </c>
      <c r="R183" s="1">
        <v>45609</v>
      </c>
      <c r="S183" t="s">
        <v>2923</v>
      </c>
    </row>
    <row r="184" spans="1:19" x14ac:dyDescent="0.3">
      <c r="A184" s="1">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1">
        <v>45748</v>
      </c>
      <c r="R184" s="1">
        <v>45751</v>
      </c>
      <c r="S184" t="s">
        <v>2922</v>
      </c>
    </row>
    <row r="185" spans="1:19" x14ac:dyDescent="0.3">
      <c r="A185" s="1">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1">
        <v>45474</v>
      </c>
      <c r="R185" s="1">
        <v>45479</v>
      </c>
      <c r="S185" t="s">
        <v>2926</v>
      </c>
    </row>
    <row r="186" spans="1:19" x14ac:dyDescent="0.3">
      <c r="A186" s="1">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1">
        <v>45269</v>
      </c>
      <c r="R186" s="1">
        <v>45278</v>
      </c>
      <c r="S186" t="s">
        <v>2926</v>
      </c>
    </row>
    <row r="187" spans="1:19" x14ac:dyDescent="0.3">
      <c r="A187" s="1">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1">
        <v>45104</v>
      </c>
      <c r="R187" s="1">
        <v>45107</v>
      </c>
      <c r="S187" t="s">
        <v>2924</v>
      </c>
    </row>
    <row r="188" spans="1:19" x14ac:dyDescent="0.3">
      <c r="A188" s="1">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1">
        <v>45121</v>
      </c>
      <c r="R188" s="1">
        <v>45124</v>
      </c>
      <c r="S188" t="s">
        <v>2923</v>
      </c>
    </row>
    <row r="189" spans="1:19" x14ac:dyDescent="0.3">
      <c r="A189" s="1">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1">
        <v>44965</v>
      </c>
      <c r="R189" s="1">
        <v>44973</v>
      </c>
      <c r="S189" t="s">
        <v>2923</v>
      </c>
    </row>
    <row r="190" spans="1:19" x14ac:dyDescent="0.3">
      <c r="A190" s="1">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1">
        <v>45471</v>
      </c>
      <c r="R190" s="1">
        <v>45480</v>
      </c>
      <c r="S190" t="s">
        <v>2926</v>
      </c>
    </row>
    <row r="191" spans="1:19" x14ac:dyDescent="0.3">
      <c r="A191" s="1">
        <v>45397</v>
      </c>
      <c r="B191" t="s">
        <v>23</v>
      </c>
      <c r="C191" t="s">
        <v>24</v>
      </c>
      <c r="D191">
        <v>2</v>
      </c>
      <c r="E191">
        <v>143.43</v>
      </c>
      <c r="F191" t="s">
        <v>34</v>
      </c>
      <c r="G191" t="s">
        <v>35</v>
      </c>
      <c r="H191">
        <v>0</v>
      </c>
      <c r="I191" t="s">
        <v>42</v>
      </c>
      <c r="J191">
        <v>286.86</v>
      </c>
      <c r="K191" t="s">
        <v>45</v>
      </c>
      <c r="M191">
        <v>0</v>
      </c>
      <c r="N191" t="s">
        <v>240</v>
      </c>
      <c r="O191" t="s">
        <v>1739</v>
      </c>
      <c r="P191">
        <v>36.94</v>
      </c>
      <c r="Q191" s="1">
        <v>45397</v>
      </c>
      <c r="R191" s="1">
        <v>45404</v>
      </c>
      <c r="S191" t="s">
        <v>2926</v>
      </c>
    </row>
    <row r="192" spans="1:19" x14ac:dyDescent="0.3">
      <c r="A192" s="1">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1">
        <v>45257</v>
      </c>
      <c r="R192" s="1">
        <v>45266</v>
      </c>
      <c r="S192" t="s">
        <v>2922</v>
      </c>
    </row>
    <row r="193" spans="1:19" x14ac:dyDescent="0.3">
      <c r="A193" s="1">
        <v>45743</v>
      </c>
      <c r="B193" t="s">
        <v>19</v>
      </c>
      <c r="C193" t="s">
        <v>30</v>
      </c>
      <c r="D193">
        <v>5</v>
      </c>
      <c r="E193">
        <v>87.17</v>
      </c>
      <c r="F193" t="s">
        <v>34</v>
      </c>
      <c r="G193" t="s">
        <v>35</v>
      </c>
      <c r="H193">
        <v>0</v>
      </c>
      <c r="I193" t="s">
        <v>40</v>
      </c>
      <c r="J193">
        <v>435.85</v>
      </c>
      <c r="K193" t="s">
        <v>46</v>
      </c>
      <c r="M193">
        <v>0</v>
      </c>
      <c r="N193" t="s">
        <v>242</v>
      </c>
      <c r="O193" t="s">
        <v>1741</v>
      </c>
      <c r="P193">
        <v>13.01</v>
      </c>
      <c r="Q193" s="1">
        <v>45743</v>
      </c>
      <c r="R193" s="1">
        <v>45745</v>
      </c>
      <c r="S193" t="s">
        <v>2922</v>
      </c>
    </row>
    <row r="194" spans="1:19" x14ac:dyDescent="0.3">
      <c r="A194" s="1">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1">
        <v>45144</v>
      </c>
      <c r="R194" s="1">
        <v>45148</v>
      </c>
      <c r="S194" t="s">
        <v>2923</v>
      </c>
    </row>
    <row r="195" spans="1:19" x14ac:dyDescent="0.3">
      <c r="A195" s="1">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1">
        <v>45639</v>
      </c>
      <c r="R195" s="1">
        <v>45648</v>
      </c>
      <c r="S195" t="s">
        <v>2923</v>
      </c>
    </row>
    <row r="196" spans="1:19" x14ac:dyDescent="0.3">
      <c r="A196" s="1">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1">
        <v>45674</v>
      </c>
      <c r="R196" s="1">
        <v>45683</v>
      </c>
      <c r="S196" t="s">
        <v>2925</v>
      </c>
    </row>
    <row r="197" spans="1:19" x14ac:dyDescent="0.3">
      <c r="A197" s="1">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1">
        <v>45256</v>
      </c>
      <c r="R197" s="1">
        <v>45262</v>
      </c>
      <c r="S197" t="s">
        <v>2926</v>
      </c>
    </row>
    <row r="198" spans="1:19" x14ac:dyDescent="0.3">
      <c r="A198" s="1">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1">
        <v>44971</v>
      </c>
      <c r="R198" s="1">
        <v>44975</v>
      </c>
      <c r="S198" t="s">
        <v>2922</v>
      </c>
    </row>
    <row r="199" spans="1:19" x14ac:dyDescent="0.3">
      <c r="A199" s="1">
        <v>45690</v>
      </c>
      <c r="B199" t="s">
        <v>22</v>
      </c>
      <c r="C199" t="s">
        <v>30</v>
      </c>
      <c r="D199">
        <v>7</v>
      </c>
      <c r="E199">
        <v>248.1</v>
      </c>
      <c r="F199" t="s">
        <v>33</v>
      </c>
      <c r="G199" t="s">
        <v>36</v>
      </c>
      <c r="H199">
        <v>0</v>
      </c>
      <c r="I199" t="s">
        <v>41</v>
      </c>
      <c r="J199">
        <v>1736.7</v>
      </c>
      <c r="K199" t="s">
        <v>47</v>
      </c>
      <c r="L199" t="s">
        <v>50</v>
      </c>
      <c r="M199">
        <v>0</v>
      </c>
      <c r="N199" t="s">
        <v>248</v>
      </c>
      <c r="O199" t="s">
        <v>1747</v>
      </c>
      <c r="P199">
        <v>31.8</v>
      </c>
      <c r="Q199" s="1">
        <v>45690</v>
      </c>
      <c r="R199" s="1">
        <v>45694</v>
      </c>
      <c r="S199" t="s">
        <v>2925</v>
      </c>
    </row>
    <row r="200" spans="1:19" x14ac:dyDescent="0.3">
      <c r="A200" s="1">
        <v>45027</v>
      </c>
      <c r="B200" t="s">
        <v>23</v>
      </c>
      <c r="C200" t="s">
        <v>30</v>
      </c>
      <c r="D200">
        <v>3</v>
      </c>
      <c r="E200">
        <v>486.52</v>
      </c>
      <c r="F200" t="s">
        <v>31</v>
      </c>
      <c r="G200" t="s">
        <v>35</v>
      </c>
      <c r="H200">
        <v>0.1</v>
      </c>
      <c r="I200" t="s">
        <v>40</v>
      </c>
      <c r="J200">
        <v>1313.604</v>
      </c>
      <c r="K200" t="s">
        <v>44</v>
      </c>
      <c r="M200">
        <v>0</v>
      </c>
      <c r="N200" t="s">
        <v>249</v>
      </c>
      <c r="O200" t="s">
        <v>1748</v>
      </c>
      <c r="P200">
        <v>16.5</v>
      </c>
      <c r="Q200" s="1">
        <v>45027</v>
      </c>
      <c r="R200" s="1">
        <v>45036</v>
      </c>
      <c r="S200" t="s">
        <v>2926</v>
      </c>
    </row>
    <row r="201" spans="1:19" x14ac:dyDescent="0.3">
      <c r="A201" s="1">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1">
        <v>45481</v>
      </c>
      <c r="R201" s="1">
        <v>45486</v>
      </c>
      <c r="S201" t="s">
        <v>2924</v>
      </c>
    </row>
    <row r="202" spans="1:19" x14ac:dyDescent="0.3">
      <c r="A202" s="1">
        <v>44965</v>
      </c>
      <c r="B202" t="s">
        <v>22</v>
      </c>
      <c r="C202" t="s">
        <v>30</v>
      </c>
      <c r="D202">
        <v>19</v>
      </c>
      <c r="E202">
        <v>165.38</v>
      </c>
      <c r="F202" t="s">
        <v>31</v>
      </c>
      <c r="G202" t="s">
        <v>35</v>
      </c>
      <c r="H202">
        <v>0.15</v>
      </c>
      <c r="I202" t="s">
        <v>38</v>
      </c>
      <c r="J202">
        <v>2670.8870000000002</v>
      </c>
      <c r="K202" t="s">
        <v>43</v>
      </c>
      <c r="M202">
        <v>0</v>
      </c>
      <c r="N202" t="s">
        <v>251</v>
      </c>
      <c r="O202" t="s">
        <v>1750</v>
      </c>
      <c r="P202">
        <v>25.2</v>
      </c>
      <c r="Q202" s="1">
        <v>44965</v>
      </c>
      <c r="R202" s="1">
        <v>44971</v>
      </c>
      <c r="S202" t="s">
        <v>2925</v>
      </c>
    </row>
    <row r="203" spans="1:19" x14ac:dyDescent="0.3">
      <c r="A203" s="1">
        <v>45391</v>
      </c>
      <c r="B203" t="s">
        <v>23</v>
      </c>
      <c r="C203" t="s">
        <v>26</v>
      </c>
      <c r="D203">
        <v>2</v>
      </c>
      <c r="E203">
        <v>117.47</v>
      </c>
      <c r="F203" t="s">
        <v>33</v>
      </c>
      <c r="G203" t="s">
        <v>35</v>
      </c>
      <c r="H203">
        <v>0</v>
      </c>
      <c r="I203" t="s">
        <v>37</v>
      </c>
      <c r="J203">
        <v>234.94</v>
      </c>
      <c r="K203" t="s">
        <v>45</v>
      </c>
      <c r="L203" t="s">
        <v>48</v>
      </c>
      <c r="M203">
        <v>0</v>
      </c>
      <c r="N203" t="s">
        <v>252</v>
      </c>
      <c r="O203" t="s">
        <v>1751</v>
      </c>
      <c r="P203">
        <v>6.58</v>
      </c>
      <c r="Q203" s="1">
        <v>45391</v>
      </c>
      <c r="R203" s="1">
        <v>45398</v>
      </c>
      <c r="S203" t="s">
        <v>2926</v>
      </c>
    </row>
    <row r="204" spans="1:19" x14ac:dyDescent="0.3">
      <c r="A204" s="1">
        <v>45152</v>
      </c>
      <c r="B204" t="s">
        <v>22</v>
      </c>
      <c r="C204" t="s">
        <v>30</v>
      </c>
      <c r="D204">
        <v>9</v>
      </c>
      <c r="E204">
        <v>461.79</v>
      </c>
      <c r="F204" t="s">
        <v>33</v>
      </c>
      <c r="G204" t="s">
        <v>35</v>
      </c>
      <c r="H204">
        <v>0.15</v>
      </c>
      <c r="I204" t="s">
        <v>39</v>
      </c>
      <c r="J204">
        <v>3532.6934999999999</v>
      </c>
      <c r="K204" t="s">
        <v>44</v>
      </c>
      <c r="M204">
        <v>0</v>
      </c>
      <c r="N204" t="s">
        <v>253</v>
      </c>
      <c r="O204" t="s">
        <v>1752</v>
      </c>
      <c r="P204">
        <v>47.81</v>
      </c>
      <c r="Q204" s="1">
        <v>45152</v>
      </c>
      <c r="R204" s="1">
        <v>45156</v>
      </c>
      <c r="S204" t="s">
        <v>2925</v>
      </c>
    </row>
    <row r="205" spans="1:19" x14ac:dyDescent="0.3">
      <c r="A205" s="1">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1">
        <v>45537</v>
      </c>
      <c r="R205" s="1">
        <v>45541</v>
      </c>
      <c r="S205" t="s">
        <v>2926</v>
      </c>
    </row>
    <row r="206" spans="1:19" x14ac:dyDescent="0.3">
      <c r="A206" s="1">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1">
        <v>45837</v>
      </c>
      <c r="R206" s="1">
        <v>45842</v>
      </c>
      <c r="S206" t="s">
        <v>2925</v>
      </c>
    </row>
    <row r="207" spans="1:19" x14ac:dyDescent="0.3">
      <c r="A207" s="1">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1">
        <v>45749</v>
      </c>
      <c r="R207" s="1">
        <v>45755</v>
      </c>
      <c r="S207" t="s">
        <v>2926</v>
      </c>
    </row>
    <row r="208" spans="1:19" x14ac:dyDescent="0.3">
      <c r="A208" s="1">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1">
        <v>45043</v>
      </c>
      <c r="R208" s="1">
        <v>45053</v>
      </c>
      <c r="S208" t="s">
        <v>2925</v>
      </c>
    </row>
    <row r="209" spans="1:19" x14ac:dyDescent="0.3">
      <c r="A209" s="1">
        <v>45511</v>
      </c>
      <c r="B209" t="s">
        <v>19</v>
      </c>
      <c r="C209" t="s">
        <v>25</v>
      </c>
      <c r="D209">
        <v>1</v>
      </c>
      <c r="E209">
        <v>94.33</v>
      </c>
      <c r="F209" t="s">
        <v>32</v>
      </c>
      <c r="G209" t="s">
        <v>35</v>
      </c>
      <c r="H209">
        <v>0</v>
      </c>
      <c r="I209" t="s">
        <v>40</v>
      </c>
      <c r="J209">
        <v>94.33</v>
      </c>
      <c r="K209" t="s">
        <v>43</v>
      </c>
      <c r="M209">
        <v>0</v>
      </c>
      <c r="N209" t="s">
        <v>258</v>
      </c>
      <c r="O209" t="s">
        <v>1757</v>
      </c>
      <c r="P209">
        <v>49.17</v>
      </c>
      <c r="Q209" s="1">
        <v>45511</v>
      </c>
      <c r="R209" s="1">
        <v>45521</v>
      </c>
      <c r="S209" t="s">
        <v>2922</v>
      </c>
    </row>
    <row r="210" spans="1:19" x14ac:dyDescent="0.3">
      <c r="A210" s="1">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1">
        <v>45031</v>
      </c>
      <c r="R210" s="1">
        <v>45041</v>
      </c>
      <c r="S210" t="s">
        <v>2926</v>
      </c>
    </row>
    <row r="211" spans="1:19" x14ac:dyDescent="0.3">
      <c r="A211" s="1">
        <v>45150</v>
      </c>
      <c r="B211" t="s">
        <v>20</v>
      </c>
      <c r="C211" t="s">
        <v>26</v>
      </c>
      <c r="D211">
        <v>4</v>
      </c>
      <c r="E211">
        <v>551.71</v>
      </c>
      <c r="F211" t="s">
        <v>32</v>
      </c>
      <c r="G211" t="s">
        <v>36</v>
      </c>
      <c r="H211">
        <v>0.05</v>
      </c>
      <c r="I211" t="s">
        <v>37</v>
      </c>
      <c r="J211">
        <v>2096.498</v>
      </c>
      <c r="K211" t="s">
        <v>44</v>
      </c>
      <c r="M211">
        <v>1</v>
      </c>
      <c r="N211" t="s">
        <v>260</v>
      </c>
      <c r="O211" t="s">
        <v>1758</v>
      </c>
      <c r="P211">
        <v>26.32</v>
      </c>
      <c r="Q211" s="1">
        <v>45150</v>
      </c>
      <c r="R211" s="1">
        <v>45153</v>
      </c>
      <c r="S211" t="s">
        <v>2923</v>
      </c>
    </row>
    <row r="212" spans="1:19" x14ac:dyDescent="0.3">
      <c r="A212" s="1">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1">
        <v>45096</v>
      </c>
      <c r="R212" s="1">
        <v>45105</v>
      </c>
      <c r="S212" t="s">
        <v>2926</v>
      </c>
    </row>
    <row r="213" spans="1:19" x14ac:dyDescent="0.3">
      <c r="A213" s="1">
        <v>45289</v>
      </c>
      <c r="B213" t="s">
        <v>19</v>
      </c>
      <c r="C213" t="s">
        <v>30</v>
      </c>
      <c r="D213">
        <v>1</v>
      </c>
      <c r="E213">
        <v>180.12</v>
      </c>
      <c r="F213" t="s">
        <v>32</v>
      </c>
      <c r="G213" t="s">
        <v>35</v>
      </c>
      <c r="H213">
        <v>0.1</v>
      </c>
      <c r="I213" t="s">
        <v>37</v>
      </c>
      <c r="J213">
        <v>162.108</v>
      </c>
      <c r="K213" t="s">
        <v>46</v>
      </c>
      <c r="M213">
        <v>0</v>
      </c>
      <c r="N213" t="s">
        <v>262</v>
      </c>
      <c r="O213" t="s">
        <v>1760</v>
      </c>
      <c r="P213">
        <v>27.07</v>
      </c>
      <c r="Q213" s="1">
        <v>45289</v>
      </c>
      <c r="R213" s="1">
        <v>45298</v>
      </c>
      <c r="S213" t="s">
        <v>2922</v>
      </c>
    </row>
    <row r="214" spans="1:19" x14ac:dyDescent="0.3">
      <c r="A214" s="1">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1">
        <v>45011</v>
      </c>
      <c r="R214" s="1">
        <v>45015</v>
      </c>
      <c r="S214" t="s">
        <v>2922</v>
      </c>
    </row>
    <row r="215" spans="1:19" x14ac:dyDescent="0.3">
      <c r="A215" s="1">
        <v>45170</v>
      </c>
      <c r="B215" t="s">
        <v>20</v>
      </c>
      <c r="C215" t="s">
        <v>25</v>
      </c>
      <c r="D215">
        <v>20</v>
      </c>
      <c r="E215">
        <v>273.55</v>
      </c>
      <c r="F215" t="s">
        <v>34</v>
      </c>
      <c r="G215" t="s">
        <v>36</v>
      </c>
      <c r="H215">
        <v>0.15</v>
      </c>
      <c r="I215" t="s">
        <v>39</v>
      </c>
      <c r="J215">
        <v>4650.3499999999995</v>
      </c>
      <c r="K215" t="s">
        <v>46</v>
      </c>
      <c r="M215">
        <v>0</v>
      </c>
      <c r="N215" t="s">
        <v>264</v>
      </c>
      <c r="O215" t="s">
        <v>1762</v>
      </c>
      <c r="P215">
        <v>14.76</v>
      </c>
      <c r="Q215" s="1">
        <v>45170</v>
      </c>
      <c r="R215" s="1">
        <v>45176</v>
      </c>
      <c r="S215" t="s">
        <v>2923</v>
      </c>
    </row>
    <row r="216" spans="1:19" x14ac:dyDescent="0.3">
      <c r="A216" s="1">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1">
        <v>45509</v>
      </c>
      <c r="R216" s="1">
        <v>45517</v>
      </c>
      <c r="S216" t="s">
        <v>2926</v>
      </c>
    </row>
    <row r="217" spans="1:19" x14ac:dyDescent="0.3">
      <c r="A217" s="1">
        <v>45680</v>
      </c>
      <c r="B217" t="s">
        <v>21</v>
      </c>
      <c r="C217" t="s">
        <v>27</v>
      </c>
      <c r="D217">
        <v>16</v>
      </c>
      <c r="E217">
        <v>562.52</v>
      </c>
      <c r="F217" t="s">
        <v>34</v>
      </c>
      <c r="G217" t="s">
        <v>36</v>
      </c>
      <c r="H217">
        <v>0</v>
      </c>
      <c r="I217" t="s">
        <v>39</v>
      </c>
      <c r="J217">
        <v>9000.32</v>
      </c>
      <c r="K217" t="s">
        <v>44</v>
      </c>
      <c r="M217">
        <v>0</v>
      </c>
      <c r="N217" t="s">
        <v>266</v>
      </c>
      <c r="O217" t="s">
        <v>1764</v>
      </c>
      <c r="P217">
        <v>18.23</v>
      </c>
      <c r="Q217" s="1">
        <v>45680</v>
      </c>
      <c r="R217" s="1">
        <v>45684</v>
      </c>
      <c r="S217" t="s">
        <v>2924</v>
      </c>
    </row>
    <row r="218" spans="1:19" x14ac:dyDescent="0.3">
      <c r="A218" s="1">
        <v>45062</v>
      </c>
      <c r="B218" t="s">
        <v>19</v>
      </c>
      <c r="C218" t="s">
        <v>29</v>
      </c>
      <c r="D218">
        <v>4</v>
      </c>
      <c r="E218">
        <v>85.16</v>
      </c>
      <c r="F218" t="s">
        <v>34</v>
      </c>
      <c r="G218" t="s">
        <v>35</v>
      </c>
      <c r="H218">
        <v>0.1</v>
      </c>
      <c r="I218" t="s">
        <v>40</v>
      </c>
      <c r="J218">
        <v>306.57600000000002</v>
      </c>
      <c r="K218" t="s">
        <v>45</v>
      </c>
      <c r="M218">
        <v>0</v>
      </c>
      <c r="N218" t="s">
        <v>267</v>
      </c>
      <c r="O218" t="s">
        <v>1765</v>
      </c>
      <c r="P218">
        <v>38.51</v>
      </c>
      <c r="Q218" s="1">
        <v>45062</v>
      </c>
      <c r="R218" s="1">
        <v>45069</v>
      </c>
      <c r="S218" t="s">
        <v>2922</v>
      </c>
    </row>
    <row r="219" spans="1:19" x14ac:dyDescent="0.3">
      <c r="A219" s="1">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1">
        <v>44971</v>
      </c>
      <c r="R219" s="1">
        <v>44979</v>
      </c>
      <c r="S219" t="s">
        <v>2924</v>
      </c>
    </row>
    <row r="220" spans="1:19" x14ac:dyDescent="0.3">
      <c r="A220" s="1">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1">
        <v>45446</v>
      </c>
      <c r="R220" s="1">
        <v>45455</v>
      </c>
      <c r="S220" t="s">
        <v>2925</v>
      </c>
    </row>
    <row r="221" spans="1:19" x14ac:dyDescent="0.3">
      <c r="A221" s="1">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1">
        <v>45238</v>
      </c>
      <c r="R221" s="1">
        <v>45245</v>
      </c>
      <c r="S221" t="s">
        <v>2925</v>
      </c>
    </row>
    <row r="222" spans="1:19" x14ac:dyDescent="0.3">
      <c r="A222" s="1">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1">
        <v>44950</v>
      </c>
      <c r="R222" s="1">
        <v>44952</v>
      </c>
      <c r="S222" t="s">
        <v>2926</v>
      </c>
    </row>
    <row r="223" spans="1:19" x14ac:dyDescent="0.3">
      <c r="A223" s="1">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1">
        <v>45736</v>
      </c>
      <c r="R223" s="1">
        <v>45744</v>
      </c>
      <c r="S223" t="s">
        <v>2926</v>
      </c>
    </row>
    <row r="224" spans="1:19" x14ac:dyDescent="0.3">
      <c r="A224" s="1">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1">
        <v>45344</v>
      </c>
      <c r="R224" s="1">
        <v>45352</v>
      </c>
      <c r="S224" t="s">
        <v>2926</v>
      </c>
    </row>
    <row r="225" spans="1:19" x14ac:dyDescent="0.3">
      <c r="A225" s="1">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1">
        <v>45749</v>
      </c>
      <c r="R225" s="1">
        <v>45757</v>
      </c>
      <c r="S225" t="s">
        <v>2924</v>
      </c>
    </row>
    <row r="226" spans="1:19" x14ac:dyDescent="0.3">
      <c r="A226" s="1">
        <v>45820</v>
      </c>
      <c r="B226" t="s">
        <v>21</v>
      </c>
      <c r="C226" t="s">
        <v>27</v>
      </c>
      <c r="D226">
        <v>19</v>
      </c>
      <c r="E226">
        <v>446.25</v>
      </c>
      <c r="F226" t="s">
        <v>31</v>
      </c>
      <c r="G226" t="s">
        <v>36</v>
      </c>
      <c r="H226">
        <v>0.1</v>
      </c>
      <c r="I226" t="s">
        <v>37</v>
      </c>
      <c r="J226">
        <v>7630.875</v>
      </c>
      <c r="K226" t="s">
        <v>44</v>
      </c>
      <c r="M226">
        <v>0</v>
      </c>
      <c r="N226" t="s">
        <v>275</v>
      </c>
      <c r="O226" t="s">
        <v>1773</v>
      </c>
      <c r="P226">
        <v>14.88</v>
      </c>
      <c r="Q226" s="1">
        <v>45820</v>
      </c>
      <c r="R226" s="1">
        <v>45826</v>
      </c>
      <c r="S226" t="s">
        <v>2924</v>
      </c>
    </row>
    <row r="227" spans="1:19" x14ac:dyDescent="0.3">
      <c r="A227" s="1">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1">
        <v>45059</v>
      </c>
      <c r="R227" s="1">
        <v>45063</v>
      </c>
      <c r="S227" t="s">
        <v>2922</v>
      </c>
    </row>
    <row r="228" spans="1:19" x14ac:dyDescent="0.3">
      <c r="A228" s="1">
        <v>45010</v>
      </c>
      <c r="B228" t="s">
        <v>20</v>
      </c>
      <c r="C228" t="s">
        <v>26</v>
      </c>
      <c r="D228">
        <v>17</v>
      </c>
      <c r="E228">
        <v>339.88</v>
      </c>
      <c r="F228" t="s">
        <v>32</v>
      </c>
      <c r="G228" t="s">
        <v>36</v>
      </c>
      <c r="H228">
        <v>0</v>
      </c>
      <c r="I228" t="s">
        <v>38</v>
      </c>
      <c r="J228">
        <v>5777.96</v>
      </c>
      <c r="K228" t="s">
        <v>47</v>
      </c>
      <c r="M228">
        <v>0</v>
      </c>
      <c r="N228" t="s">
        <v>277</v>
      </c>
      <c r="O228" t="s">
        <v>1775</v>
      </c>
      <c r="P228">
        <v>44.86</v>
      </c>
      <c r="Q228" s="1">
        <v>45010</v>
      </c>
      <c r="R228" s="1">
        <v>45013</v>
      </c>
      <c r="S228" t="s">
        <v>2923</v>
      </c>
    </row>
    <row r="229" spans="1:19" x14ac:dyDescent="0.3">
      <c r="A229" s="1">
        <v>45618</v>
      </c>
      <c r="B229" t="s">
        <v>20</v>
      </c>
      <c r="C229" t="s">
        <v>30</v>
      </c>
      <c r="D229">
        <v>19</v>
      </c>
      <c r="E229">
        <v>364.32</v>
      </c>
      <c r="F229" t="s">
        <v>31</v>
      </c>
      <c r="G229" t="s">
        <v>36</v>
      </c>
      <c r="H229">
        <v>0.15</v>
      </c>
      <c r="I229" t="s">
        <v>39</v>
      </c>
      <c r="J229">
        <v>5883.768</v>
      </c>
      <c r="K229" t="s">
        <v>46</v>
      </c>
      <c r="M229">
        <v>1</v>
      </c>
      <c r="N229" t="s">
        <v>278</v>
      </c>
      <c r="O229" t="s">
        <v>1776</v>
      </c>
      <c r="P229">
        <v>39.76</v>
      </c>
      <c r="Q229" s="1">
        <v>45618</v>
      </c>
      <c r="R229" s="1">
        <v>45621</v>
      </c>
      <c r="S229" t="s">
        <v>2923</v>
      </c>
    </row>
    <row r="230" spans="1:19" x14ac:dyDescent="0.3">
      <c r="A230" s="1">
        <v>45114</v>
      </c>
      <c r="B230" t="s">
        <v>19</v>
      </c>
      <c r="C230" t="s">
        <v>29</v>
      </c>
      <c r="D230">
        <v>3</v>
      </c>
      <c r="E230">
        <v>71.91</v>
      </c>
      <c r="F230" t="s">
        <v>31</v>
      </c>
      <c r="G230" t="s">
        <v>35</v>
      </c>
      <c r="H230">
        <v>0</v>
      </c>
      <c r="I230" t="s">
        <v>38</v>
      </c>
      <c r="J230">
        <v>215.73</v>
      </c>
      <c r="K230" t="s">
        <v>44</v>
      </c>
      <c r="L230" t="s">
        <v>50</v>
      </c>
      <c r="M230">
        <v>1</v>
      </c>
      <c r="N230" t="s">
        <v>279</v>
      </c>
      <c r="O230" t="s">
        <v>1777</v>
      </c>
      <c r="P230">
        <v>46.25</v>
      </c>
      <c r="Q230" s="1">
        <v>45114</v>
      </c>
      <c r="R230" s="1">
        <v>45124</v>
      </c>
      <c r="S230" t="s">
        <v>2922</v>
      </c>
    </row>
    <row r="231" spans="1:19" x14ac:dyDescent="0.3">
      <c r="A231" s="1">
        <v>45570</v>
      </c>
      <c r="B231" t="s">
        <v>19</v>
      </c>
      <c r="C231" t="s">
        <v>29</v>
      </c>
      <c r="D231">
        <v>20</v>
      </c>
      <c r="E231">
        <v>576.29999999999995</v>
      </c>
      <c r="F231" t="s">
        <v>34</v>
      </c>
      <c r="G231" t="s">
        <v>35</v>
      </c>
      <c r="H231">
        <v>0.05</v>
      </c>
      <c r="I231" t="s">
        <v>37</v>
      </c>
      <c r="J231">
        <v>10949.7</v>
      </c>
      <c r="K231" t="s">
        <v>45</v>
      </c>
      <c r="M231">
        <v>0</v>
      </c>
      <c r="N231" t="s">
        <v>280</v>
      </c>
      <c r="O231" t="s">
        <v>1778</v>
      </c>
      <c r="P231">
        <v>25.22</v>
      </c>
      <c r="Q231" s="1">
        <v>45570</v>
      </c>
      <c r="R231" s="1">
        <v>45574</v>
      </c>
      <c r="S231" t="s">
        <v>2922</v>
      </c>
    </row>
    <row r="232" spans="1:19" x14ac:dyDescent="0.3">
      <c r="A232" s="1">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1">
        <v>45382</v>
      </c>
      <c r="R232" s="1">
        <v>45390</v>
      </c>
      <c r="S232" t="s">
        <v>2926</v>
      </c>
    </row>
    <row r="233" spans="1:19" x14ac:dyDescent="0.3">
      <c r="A233" s="1">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1">
        <v>45748</v>
      </c>
      <c r="R233" s="1">
        <v>45751</v>
      </c>
      <c r="S233" t="s">
        <v>2926</v>
      </c>
    </row>
    <row r="234" spans="1:19" x14ac:dyDescent="0.3">
      <c r="A234" s="1">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1">
        <v>45161</v>
      </c>
      <c r="R234" s="1">
        <v>45164</v>
      </c>
      <c r="S234" t="s">
        <v>2926</v>
      </c>
    </row>
    <row r="235" spans="1:19" x14ac:dyDescent="0.3">
      <c r="A235" s="1">
        <v>45518</v>
      </c>
      <c r="B235" t="s">
        <v>20</v>
      </c>
      <c r="C235" t="s">
        <v>25</v>
      </c>
      <c r="D235">
        <v>20</v>
      </c>
      <c r="E235">
        <v>14.33</v>
      </c>
      <c r="F235" t="s">
        <v>34</v>
      </c>
      <c r="G235" t="s">
        <v>35</v>
      </c>
      <c r="H235">
        <v>0.1</v>
      </c>
      <c r="I235" t="s">
        <v>40</v>
      </c>
      <c r="J235">
        <v>257.94000000000011</v>
      </c>
      <c r="K235" t="s">
        <v>46</v>
      </c>
      <c r="M235">
        <v>0</v>
      </c>
      <c r="N235" t="s">
        <v>284</v>
      </c>
      <c r="O235" t="s">
        <v>1782</v>
      </c>
      <c r="P235">
        <v>6.22</v>
      </c>
      <c r="Q235" s="1">
        <v>45518</v>
      </c>
      <c r="R235" s="1">
        <v>45525</v>
      </c>
      <c r="S235" t="s">
        <v>2923</v>
      </c>
    </row>
    <row r="236" spans="1:19" x14ac:dyDescent="0.3">
      <c r="A236" s="1">
        <v>45702</v>
      </c>
      <c r="B236" t="s">
        <v>22</v>
      </c>
      <c r="C236" t="s">
        <v>29</v>
      </c>
      <c r="D236">
        <v>18</v>
      </c>
      <c r="E236">
        <v>499.61</v>
      </c>
      <c r="F236" t="s">
        <v>31</v>
      </c>
      <c r="G236" t="s">
        <v>36</v>
      </c>
      <c r="H236">
        <v>0.15</v>
      </c>
      <c r="I236" t="s">
        <v>38</v>
      </c>
      <c r="J236">
        <v>7644.0329999999994</v>
      </c>
      <c r="K236" t="s">
        <v>46</v>
      </c>
      <c r="M236">
        <v>0</v>
      </c>
      <c r="N236" t="s">
        <v>285</v>
      </c>
      <c r="O236" t="s">
        <v>1783</v>
      </c>
      <c r="P236">
        <v>9.64</v>
      </c>
      <c r="Q236" s="1">
        <v>45702</v>
      </c>
      <c r="R236" s="1">
        <v>45707</v>
      </c>
      <c r="S236" t="s">
        <v>2925</v>
      </c>
    </row>
    <row r="237" spans="1:19" x14ac:dyDescent="0.3">
      <c r="A237" s="1">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1">
        <v>45241</v>
      </c>
      <c r="R237" s="1">
        <v>45246</v>
      </c>
      <c r="S237" t="s">
        <v>2926</v>
      </c>
    </row>
    <row r="238" spans="1:19" x14ac:dyDescent="0.3">
      <c r="A238" s="1">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1">
        <v>45383</v>
      </c>
      <c r="R238" s="1">
        <v>45391</v>
      </c>
      <c r="S238" t="s">
        <v>2925</v>
      </c>
    </row>
    <row r="239" spans="1:19" x14ac:dyDescent="0.3">
      <c r="A239" s="1">
        <v>45456</v>
      </c>
      <c r="B239" t="s">
        <v>20</v>
      </c>
      <c r="C239" t="s">
        <v>27</v>
      </c>
      <c r="D239">
        <v>5</v>
      </c>
      <c r="E239">
        <v>555.84</v>
      </c>
      <c r="F239" t="s">
        <v>33</v>
      </c>
      <c r="G239" t="s">
        <v>36</v>
      </c>
      <c r="H239">
        <v>0.05</v>
      </c>
      <c r="I239" t="s">
        <v>41</v>
      </c>
      <c r="J239">
        <v>2640.24</v>
      </c>
      <c r="K239" t="s">
        <v>45</v>
      </c>
      <c r="M239">
        <v>0</v>
      </c>
      <c r="N239" t="s">
        <v>288</v>
      </c>
      <c r="O239" t="s">
        <v>1786</v>
      </c>
      <c r="P239">
        <v>29.4</v>
      </c>
      <c r="Q239" s="1">
        <v>45456</v>
      </c>
      <c r="R239" s="1">
        <v>45463</v>
      </c>
      <c r="S239" t="s">
        <v>2923</v>
      </c>
    </row>
    <row r="240" spans="1:19" x14ac:dyDescent="0.3">
      <c r="A240" s="1">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1">
        <v>45258</v>
      </c>
      <c r="R240" s="1">
        <v>45263</v>
      </c>
      <c r="S240" t="s">
        <v>2924</v>
      </c>
    </row>
    <row r="241" spans="1:19" x14ac:dyDescent="0.3">
      <c r="A241" s="1">
        <v>45607</v>
      </c>
      <c r="B241" t="s">
        <v>22</v>
      </c>
      <c r="C241" t="s">
        <v>26</v>
      </c>
      <c r="D241">
        <v>11</v>
      </c>
      <c r="E241">
        <v>286.05</v>
      </c>
      <c r="F241" t="s">
        <v>32</v>
      </c>
      <c r="G241" t="s">
        <v>36</v>
      </c>
      <c r="H241">
        <v>0.1</v>
      </c>
      <c r="I241" t="s">
        <v>42</v>
      </c>
      <c r="J241">
        <v>2831.895</v>
      </c>
      <c r="K241" t="s">
        <v>46</v>
      </c>
      <c r="M241">
        <v>1</v>
      </c>
      <c r="N241" t="s">
        <v>290</v>
      </c>
      <c r="O241" t="s">
        <v>1788</v>
      </c>
      <c r="P241">
        <v>8.59</v>
      </c>
      <c r="Q241" s="1">
        <v>45607</v>
      </c>
      <c r="R241" s="1">
        <v>45612</v>
      </c>
      <c r="S241" t="s">
        <v>2925</v>
      </c>
    </row>
    <row r="242" spans="1:19" x14ac:dyDescent="0.3">
      <c r="A242" s="1">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1">
        <v>45600</v>
      </c>
      <c r="R242" s="1">
        <v>45604</v>
      </c>
      <c r="S242" t="s">
        <v>2924</v>
      </c>
    </row>
    <row r="243" spans="1:19" x14ac:dyDescent="0.3">
      <c r="A243" s="1">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1">
        <v>44927</v>
      </c>
      <c r="R243" s="1">
        <v>44937</v>
      </c>
      <c r="S243" t="s">
        <v>2925</v>
      </c>
    </row>
    <row r="244" spans="1:19" x14ac:dyDescent="0.3">
      <c r="A244" s="1">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1">
        <v>45675</v>
      </c>
      <c r="R244" s="1">
        <v>45677</v>
      </c>
      <c r="S244" t="s">
        <v>2924</v>
      </c>
    </row>
    <row r="245" spans="1:19" x14ac:dyDescent="0.3">
      <c r="A245" s="1">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1">
        <v>45048</v>
      </c>
      <c r="R245" s="1">
        <v>45056</v>
      </c>
      <c r="S245" t="s">
        <v>2925</v>
      </c>
    </row>
    <row r="246" spans="1:19" x14ac:dyDescent="0.3">
      <c r="A246" s="1">
        <v>45804</v>
      </c>
      <c r="B246" t="s">
        <v>23</v>
      </c>
      <c r="C246" t="s">
        <v>30</v>
      </c>
      <c r="D246">
        <v>10</v>
      </c>
      <c r="E246">
        <v>351.23</v>
      </c>
      <c r="F246" t="s">
        <v>31</v>
      </c>
      <c r="G246" t="s">
        <v>36</v>
      </c>
      <c r="H246">
        <v>0.15</v>
      </c>
      <c r="I246" t="s">
        <v>39</v>
      </c>
      <c r="J246">
        <v>2985.4549999999999</v>
      </c>
      <c r="K246" t="s">
        <v>43</v>
      </c>
      <c r="M246">
        <v>0</v>
      </c>
      <c r="N246" t="s">
        <v>295</v>
      </c>
      <c r="O246" t="s">
        <v>1793</v>
      </c>
      <c r="P246">
        <v>42.74</v>
      </c>
      <c r="Q246" s="1">
        <v>45804</v>
      </c>
      <c r="R246" s="1">
        <v>45810</v>
      </c>
      <c r="S246" t="s">
        <v>2926</v>
      </c>
    </row>
    <row r="247" spans="1:19" x14ac:dyDescent="0.3">
      <c r="A247" s="1">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1">
        <v>45653</v>
      </c>
      <c r="R247" s="1">
        <v>45662</v>
      </c>
      <c r="S247" t="s">
        <v>2923</v>
      </c>
    </row>
    <row r="248" spans="1:19" x14ac:dyDescent="0.3">
      <c r="A248" s="1">
        <v>45734</v>
      </c>
      <c r="B248" t="s">
        <v>23</v>
      </c>
      <c r="C248" t="s">
        <v>27</v>
      </c>
      <c r="D248">
        <v>2</v>
      </c>
      <c r="E248">
        <v>131.13</v>
      </c>
      <c r="F248" t="s">
        <v>31</v>
      </c>
      <c r="G248" t="s">
        <v>36</v>
      </c>
      <c r="H248">
        <v>0.1</v>
      </c>
      <c r="I248" t="s">
        <v>37</v>
      </c>
      <c r="J248">
        <v>236.03399999999999</v>
      </c>
      <c r="K248" t="s">
        <v>46</v>
      </c>
      <c r="M248">
        <v>0</v>
      </c>
      <c r="N248" t="s">
        <v>297</v>
      </c>
      <c r="O248" t="s">
        <v>1795</v>
      </c>
      <c r="P248">
        <v>14.74</v>
      </c>
      <c r="Q248" s="1">
        <v>45734</v>
      </c>
      <c r="R248" s="1">
        <v>45740</v>
      </c>
      <c r="S248" t="s">
        <v>2926</v>
      </c>
    </row>
    <row r="249" spans="1:19" x14ac:dyDescent="0.3">
      <c r="A249" s="1">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1">
        <v>45375</v>
      </c>
      <c r="R249" s="1">
        <v>45382</v>
      </c>
      <c r="S249" t="s">
        <v>2922</v>
      </c>
    </row>
    <row r="250" spans="1:19" x14ac:dyDescent="0.3">
      <c r="A250" s="1">
        <v>45652</v>
      </c>
      <c r="B250" t="s">
        <v>19</v>
      </c>
      <c r="C250" t="s">
        <v>24</v>
      </c>
      <c r="D250">
        <v>6</v>
      </c>
      <c r="E250">
        <v>516.66</v>
      </c>
      <c r="F250" t="s">
        <v>33</v>
      </c>
      <c r="G250" t="s">
        <v>35</v>
      </c>
      <c r="H250">
        <v>0.05</v>
      </c>
      <c r="I250" t="s">
        <v>42</v>
      </c>
      <c r="J250">
        <v>2944.962</v>
      </c>
      <c r="K250" t="s">
        <v>43</v>
      </c>
      <c r="M250">
        <v>1</v>
      </c>
      <c r="N250" t="s">
        <v>299</v>
      </c>
      <c r="O250" t="s">
        <v>1695</v>
      </c>
      <c r="P250">
        <v>5.15</v>
      </c>
      <c r="Q250" s="1">
        <v>45652</v>
      </c>
      <c r="R250" s="1">
        <v>45660</v>
      </c>
      <c r="S250" t="s">
        <v>2922</v>
      </c>
    </row>
    <row r="251" spans="1:19" x14ac:dyDescent="0.3">
      <c r="A251" s="1">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1">
        <v>44937</v>
      </c>
      <c r="R251" s="1">
        <v>44940</v>
      </c>
      <c r="S251" t="s">
        <v>2924</v>
      </c>
    </row>
    <row r="252" spans="1:19" x14ac:dyDescent="0.3">
      <c r="A252" s="1">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1">
        <v>45809</v>
      </c>
      <c r="R252" s="1">
        <v>45818</v>
      </c>
      <c r="S252" t="s">
        <v>2923</v>
      </c>
    </row>
    <row r="253" spans="1:19" x14ac:dyDescent="0.3">
      <c r="A253" s="1">
        <v>45561</v>
      </c>
      <c r="B253" t="s">
        <v>19</v>
      </c>
      <c r="C253" t="s">
        <v>26</v>
      </c>
      <c r="D253">
        <v>11</v>
      </c>
      <c r="E253">
        <v>472.74</v>
      </c>
      <c r="F253" t="s">
        <v>34</v>
      </c>
      <c r="G253" t="s">
        <v>36</v>
      </c>
      <c r="H253">
        <v>0.15</v>
      </c>
      <c r="I253" t="s">
        <v>40</v>
      </c>
      <c r="J253">
        <v>4420.1190000000006</v>
      </c>
      <c r="K253" t="s">
        <v>45</v>
      </c>
      <c r="M253">
        <v>1</v>
      </c>
      <c r="N253" t="s">
        <v>302</v>
      </c>
      <c r="O253" t="s">
        <v>1798</v>
      </c>
      <c r="P253">
        <v>16.8</v>
      </c>
      <c r="Q253" s="1">
        <v>45561</v>
      </c>
      <c r="R253" s="1">
        <v>45566</v>
      </c>
      <c r="S253" t="s">
        <v>2922</v>
      </c>
    </row>
    <row r="254" spans="1:19" x14ac:dyDescent="0.3">
      <c r="A254" s="1">
        <v>45514</v>
      </c>
      <c r="B254" t="s">
        <v>19</v>
      </c>
      <c r="C254" t="s">
        <v>25</v>
      </c>
      <c r="D254">
        <v>20</v>
      </c>
      <c r="E254">
        <v>337.37</v>
      </c>
      <c r="F254" t="s">
        <v>33</v>
      </c>
      <c r="G254" t="s">
        <v>36</v>
      </c>
      <c r="H254">
        <v>0.1</v>
      </c>
      <c r="I254" t="s">
        <v>41</v>
      </c>
      <c r="J254">
        <v>6072.66</v>
      </c>
      <c r="K254" t="s">
        <v>44</v>
      </c>
      <c r="M254">
        <v>0</v>
      </c>
      <c r="N254" t="s">
        <v>303</v>
      </c>
      <c r="O254" t="s">
        <v>1799</v>
      </c>
      <c r="P254">
        <v>43.17</v>
      </c>
      <c r="Q254" s="1">
        <v>45514</v>
      </c>
      <c r="R254" s="1">
        <v>45521</v>
      </c>
      <c r="S254" t="s">
        <v>2922</v>
      </c>
    </row>
    <row r="255" spans="1:19" x14ac:dyDescent="0.3">
      <c r="A255" s="1">
        <v>45718</v>
      </c>
      <c r="B255" t="s">
        <v>20</v>
      </c>
      <c r="C255" t="s">
        <v>25</v>
      </c>
      <c r="D255">
        <v>12</v>
      </c>
      <c r="E255">
        <v>34.24</v>
      </c>
      <c r="F255" t="s">
        <v>33</v>
      </c>
      <c r="G255" t="s">
        <v>36</v>
      </c>
      <c r="H255">
        <v>0.1</v>
      </c>
      <c r="I255" t="s">
        <v>39</v>
      </c>
      <c r="J255">
        <v>369.79199999999997</v>
      </c>
      <c r="K255" t="s">
        <v>47</v>
      </c>
      <c r="M255">
        <v>0</v>
      </c>
      <c r="N255" t="s">
        <v>304</v>
      </c>
      <c r="O255" t="s">
        <v>1800</v>
      </c>
      <c r="P255">
        <v>17.64</v>
      </c>
      <c r="Q255" s="1">
        <v>45718</v>
      </c>
      <c r="R255" s="1">
        <v>45726</v>
      </c>
      <c r="S255" t="s">
        <v>2923</v>
      </c>
    </row>
    <row r="256" spans="1:19" x14ac:dyDescent="0.3">
      <c r="A256" s="1">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1">
        <v>44978</v>
      </c>
      <c r="R256" s="1">
        <v>44987</v>
      </c>
      <c r="S256" t="s">
        <v>2922</v>
      </c>
    </row>
    <row r="257" spans="1:19" x14ac:dyDescent="0.3">
      <c r="A257" s="1">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1">
        <v>45616</v>
      </c>
      <c r="R257" s="1">
        <v>45623</v>
      </c>
      <c r="S257" t="s">
        <v>2922</v>
      </c>
    </row>
    <row r="258" spans="1:19" x14ac:dyDescent="0.3">
      <c r="A258" s="1">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1">
        <v>45164</v>
      </c>
      <c r="R258" s="1">
        <v>45167</v>
      </c>
      <c r="S258" t="s">
        <v>2922</v>
      </c>
    </row>
    <row r="259" spans="1:19" x14ac:dyDescent="0.3">
      <c r="A259" s="1">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1">
        <v>45292</v>
      </c>
      <c r="R259" s="1">
        <v>45299</v>
      </c>
      <c r="S259" t="s">
        <v>2923</v>
      </c>
    </row>
    <row r="260" spans="1:19" x14ac:dyDescent="0.3">
      <c r="A260" s="1">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1">
        <v>45620</v>
      </c>
      <c r="R260" s="1">
        <v>45626</v>
      </c>
      <c r="S260" t="s">
        <v>2923</v>
      </c>
    </row>
    <row r="261" spans="1:19" x14ac:dyDescent="0.3">
      <c r="A261" s="1">
        <v>45529</v>
      </c>
      <c r="B261" t="s">
        <v>20</v>
      </c>
      <c r="C261" t="s">
        <v>29</v>
      </c>
      <c r="D261">
        <v>7</v>
      </c>
      <c r="E261">
        <v>50.26</v>
      </c>
      <c r="F261" t="s">
        <v>33</v>
      </c>
      <c r="G261" t="s">
        <v>36</v>
      </c>
      <c r="H261">
        <v>0.15</v>
      </c>
      <c r="I261" t="s">
        <v>41</v>
      </c>
      <c r="J261">
        <v>299.04700000000003</v>
      </c>
      <c r="K261" t="s">
        <v>47</v>
      </c>
      <c r="M261">
        <v>0</v>
      </c>
      <c r="N261" t="s">
        <v>310</v>
      </c>
      <c r="O261" t="s">
        <v>1806</v>
      </c>
      <c r="P261">
        <v>17.12</v>
      </c>
      <c r="Q261" s="1">
        <v>45529</v>
      </c>
      <c r="R261" s="1">
        <v>45536</v>
      </c>
      <c r="S261" t="s">
        <v>2923</v>
      </c>
    </row>
    <row r="262" spans="1:19" x14ac:dyDescent="0.3">
      <c r="A262" s="1">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1">
        <v>45087</v>
      </c>
      <c r="R262" s="1">
        <v>45095</v>
      </c>
      <c r="S262" t="s">
        <v>2923</v>
      </c>
    </row>
    <row r="263" spans="1:19" x14ac:dyDescent="0.3">
      <c r="A263" s="1">
        <v>45644</v>
      </c>
      <c r="B263" t="s">
        <v>21</v>
      </c>
      <c r="C263" t="s">
        <v>30</v>
      </c>
      <c r="D263">
        <v>7</v>
      </c>
      <c r="E263">
        <v>467.6</v>
      </c>
      <c r="F263" t="s">
        <v>32</v>
      </c>
      <c r="G263" t="s">
        <v>36</v>
      </c>
      <c r="H263">
        <v>0.1</v>
      </c>
      <c r="I263" t="s">
        <v>40</v>
      </c>
      <c r="J263">
        <v>2945.88</v>
      </c>
      <c r="K263" t="s">
        <v>46</v>
      </c>
      <c r="M263">
        <v>0</v>
      </c>
      <c r="N263" t="s">
        <v>312</v>
      </c>
      <c r="O263" t="s">
        <v>1808</v>
      </c>
      <c r="P263">
        <v>15.64</v>
      </c>
      <c r="Q263" s="1">
        <v>45644</v>
      </c>
      <c r="R263" s="1">
        <v>45652</v>
      </c>
      <c r="S263" t="s">
        <v>2924</v>
      </c>
    </row>
    <row r="264" spans="1:19" x14ac:dyDescent="0.3">
      <c r="A264" s="1">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1">
        <v>45166</v>
      </c>
      <c r="R264" s="1">
        <v>45170</v>
      </c>
      <c r="S264" t="s">
        <v>2922</v>
      </c>
    </row>
    <row r="265" spans="1:19" x14ac:dyDescent="0.3">
      <c r="A265" s="1">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1">
        <v>44948</v>
      </c>
      <c r="R265" s="1">
        <v>44957</v>
      </c>
      <c r="S265" t="s">
        <v>2926</v>
      </c>
    </row>
    <row r="266" spans="1:19" x14ac:dyDescent="0.3">
      <c r="A266" s="1">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1">
        <v>44964</v>
      </c>
      <c r="R266" s="1">
        <v>44971</v>
      </c>
      <c r="S266" t="s">
        <v>2924</v>
      </c>
    </row>
    <row r="267" spans="1:19" x14ac:dyDescent="0.3">
      <c r="A267" s="1">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1">
        <v>45252</v>
      </c>
      <c r="R267" s="1">
        <v>45259</v>
      </c>
      <c r="S267" t="s">
        <v>2923</v>
      </c>
    </row>
    <row r="268" spans="1:19" x14ac:dyDescent="0.3">
      <c r="A268" s="1">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1">
        <v>44951</v>
      </c>
      <c r="R268" s="1">
        <v>44955</v>
      </c>
      <c r="S268" t="s">
        <v>2926</v>
      </c>
    </row>
    <row r="269" spans="1:19" x14ac:dyDescent="0.3">
      <c r="A269" s="1">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1">
        <v>45721</v>
      </c>
      <c r="R269" s="1">
        <v>45725</v>
      </c>
      <c r="S269" t="s">
        <v>2923</v>
      </c>
    </row>
    <row r="270" spans="1:19" x14ac:dyDescent="0.3">
      <c r="A270" s="1">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1">
        <v>44959</v>
      </c>
      <c r="R270" s="1">
        <v>44969</v>
      </c>
      <c r="S270" t="s">
        <v>2924</v>
      </c>
    </row>
    <row r="271" spans="1:19" x14ac:dyDescent="0.3">
      <c r="A271" s="1">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1">
        <v>45070</v>
      </c>
      <c r="R271" s="1">
        <v>45078</v>
      </c>
      <c r="S271" t="s">
        <v>2924</v>
      </c>
    </row>
    <row r="272" spans="1:19" x14ac:dyDescent="0.3">
      <c r="A272" s="1">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1">
        <v>45442</v>
      </c>
      <c r="R272" s="1">
        <v>45449</v>
      </c>
      <c r="S272" t="s">
        <v>2923</v>
      </c>
    </row>
    <row r="273" spans="1:19" x14ac:dyDescent="0.3">
      <c r="A273" s="1">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1">
        <v>45314</v>
      </c>
      <c r="R273" s="1">
        <v>45322</v>
      </c>
      <c r="S273" t="s">
        <v>2926</v>
      </c>
    </row>
    <row r="274" spans="1:19" x14ac:dyDescent="0.3">
      <c r="A274" s="1">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1">
        <v>44963</v>
      </c>
      <c r="R274" s="1">
        <v>44972</v>
      </c>
      <c r="S274" t="s">
        <v>2924</v>
      </c>
    </row>
    <row r="275" spans="1:19" x14ac:dyDescent="0.3">
      <c r="A275" s="1">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1">
        <v>45488</v>
      </c>
      <c r="R275" s="1">
        <v>45492</v>
      </c>
      <c r="S275" t="s">
        <v>2926</v>
      </c>
    </row>
    <row r="276" spans="1:19" x14ac:dyDescent="0.3">
      <c r="A276" s="1">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1">
        <v>45722</v>
      </c>
      <c r="R276" s="1">
        <v>45732</v>
      </c>
      <c r="S276" t="s">
        <v>2922</v>
      </c>
    </row>
    <row r="277" spans="1:19" x14ac:dyDescent="0.3">
      <c r="A277" s="1">
        <v>45136</v>
      </c>
      <c r="B277" t="s">
        <v>22</v>
      </c>
      <c r="C277" t="s">
        <v>25</v>
      </c>
      <c r="D277">
        <v>17</v>
      </c>
      <c r="E277">
        <v>6.88</v>
      </c>
      <c r="F277" t="s">
        <v>32</v>
      </c>
      <c r="G277" t="s">
        <v>36</v>
      </c>
      <c r="H277">
        <v>0.1</v>
      </c>
      <c r="I277" t="s">
        <v>39</v>
      </c>
      <c r="J277">
        <v>105.264</v>
      </c>
      <c r="K277" t="s">
        <v>44</v>
      </c>
      <c r="M277">
        <v>0</v>
      </c>
      <c r="N277" t="s">
        <v>326</v>
      </c>
      <c r="O277" t="s">
        <v>1821</v>
      </c>
      <c r="P277">
        <v>42.37</v>
      </c>
      <c r="Q277" s="1">
        <v>45136</v>
      </c>
      <c r="R277" s="1">
        <v>45146</v>
      </c>
      <c r="S277" t="s">
        <v>2925</v>
      </c>
    </row>
    <row r="278" spans="1:19" x14ac:dyDescent="0.3">
      <c r="A278" s="1">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1">
        <v>45133</v>
      </c>
      <c r="R278" s="1">
        <v>45136</v>
      </c>
      <c r="S278" t="s">
        <v>2924</v>
      </c>
    </row>
    <row r="279" spans="1:19" x14ac:dyDescent="0.3">
      <c r="A279" s="1">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1">
        <v>45392</v>
      </c>
      <c r="R279" s="1">
        <v>45395</v>
      </c>
      <c r="S279" t="s">
        <v>2926</v>
      </c>
    </row>
    <row r="280" spans="1:19" x14ac:dyDescent="0.3">
      <c r="A280" s="1">
        <v>45681</v>
      </c>
      <c r="B280" t="s">
        <v>21</v>
      </c>
      <c r="C280" t="s">
        <v>26</v>
      </c>
      <c r="D280">
        <v>16</v>
      </c>
      <c r="E280">
        <v>60.69</v>
      </c>
      <c r="F280" t="s">
        <v>32</v>
      </c>
      <c r="G280" t="s">
        <v>35</v>
      </c>
      <c r="H280">
        <v>0</v>
      </c>
      <c r="I280" t="s">
        <v>40</v>
      </c>
      <c r="J280">
        <v>971.04</v>
      </c>
      <c r="K280" t="s">
        <v>45</v>
      </c>
      <c r="L280" t="s">
        <v>50</v>
      </c>
      <c r="M280">
        <v>0</v>
      </c>
      <c r="N280" t="s">
        <v>329</v>
      </c>
      <c r="O280" t="s">
        <v>1824</v>
      </c>
      <c r="P280">
        <v>7.03</v>
      </c>
      <c r="Q280" s="1">
        <v>45681</v>
      </c>
      <c r="R280" s="1">
        <v>45684</v>
      </c>
      <c r="S280" t="s">
        <v>2924</v>
      </c>
    </row>
    <row r="281" spans="1:19" x14ac:dyDescent="0.3">
      <c r="A281" s="1">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1">
        <v>45774</v>
      </c>
      <c r="R281" s="1">
        <v>45780</v>
      </c>
      <c r="S281" t="s">
        <v>2926</v>
      </c>
    </row>
    <row r="282" spans="1:19" x14ac:dyDescent="0.3">
      <c r="A282" s="1">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1">
        <v>45708</v>
      </c>
      <c r="R282" s="1">
        <v>45711</v>
      </c>
      <c r="S282" t="s">
        <v>2922</v>
      </c>
    </row>
    <row r="283" spans="1:19" x14ac:dyDescent="0.3">
      <c r="A283" s="1">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1">
        <v>45183</v>
      </c>
      <c r="R283" s="1">
        <v>45188</v>
      </c>
      <c r="S283" t="s">
        <v>2924</v>
      </c>
    </row>
    <row r="284" spans="1:19" x14ac:dyDescent="0.3">
      <c r="A284" s="1">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1">
        <v>45399</v>
      </c>
      <c r="R284" s="1">
        <v>45409</v>
      </c>
      <c r="S284" t="s">
        <v>2926</v>
      </c>
    </row>
    <row r="285" spans="1:19" x14ac:dyDescent="0.3">
      <c r="A285" s="1">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1">
        <v>45610</v>
      </c>
      <c r="R285" s="1">
        <v>45614</v>
      </c>
      <c r="S285" t="s">
        <v>2925</v>
      </c>
    </row>
    <row r="286" spans="1:19" x14ac:dyDescent="0.3">
      <c r="A286" s="1">
        <v>45498</v>
      </c>
      <c r="B286" t="s">
        <v>21</v>
      </c>
      <c r="C286" t="s">
        <v>27</v>
      </c>
      <c r="D286">
        <v>15</v>
      </c>
      <c r="E286">
        <v>247.21</v>
      </c>
      <c r="F286" t="s">
        <v>34</v>
      </c>
      <c r="G286" t="s">
        <v>35</v>
      </c>
      <c r="H286">
        <v>0.1</v>
      </c>
      <c r="I286" t="s">
        <v>42</v>
      </c>
      <c r="J286">
        <v>3337.335</v>
      </c>
      <c r="K286" t="s">
        <v>44</v>
      </c>
      <c r="M286">
        <v>0</v>
      </c>
      <c r="N286" t="s">
        <v>335</v>
      </c>
      <c r="O286" t="s">
        <v>1829</v>
      </c>
      <c r="P286">
        <v>45.42</v>
      </c>
      <c r="Q286" s="1">
        <v>45498</v>
      </c>
      <c r="R286" s="1">
        <v>45500</v>
      </c>
      <c r="S286" t="s">
        <v>2924</v>
      </c>
    </row>
    <row r="287" spans="1:19" x14ac:dyDescent="0.3">
      <c r="A287" s="1">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1">
        <v>45509</v>
      </c>
      <c r="R287" s="1">
        <v>45519</v>
      </c>
      <c r="S287" t="s">
        <v>2922</v>
      </c>
    </row>
    <row r="288" spans="1:19" x14ac:dyDescent="0.3">
      <c r="A288" s="1">
        <v>45680</v>
      </c>
      <c r="B288" t="s">
        <v>23</v>
      </c>
      <c r="C288" t="s">
        <v>24</v>
      </c>
      <c r="D288">
        <v>6</v>
      </c>
      <c r="E288">
        <v>532.54</v>
      </c>
      <c r="F288" t="s">
        <v>32</v>
      </c>
      <c r="G288" t="s">
        <v>35</v>
      </c>
      <c r="H288">
        <v>0</v>
      </c>
      <c r="I288" t="s">
        <v>41</v>
      </c>
      <c r="J288">
        <v>3195.24</v>
      </c>
      <c r="K288" t="s">
        <v>46</v>
      </c>
      <c r="M288">
        <v>1</v>
      </c>
      <c r="N288" t="s">
        <v>337</v>
      </c>
      <c r="O288" t="s">
        <v>1831</v>
      </c>
      <c r="P288">
        <v>25.09</v>
      </c>
      <c r="Q288" s="1">
        <v>45680</v>
      </c>
      <c r="R288" s="1">
        <v>45690</v>
      </c>
      <c r="S288" t="s">
        <v>2926</v>
      </c>
    </row>
    <row r="289" spans="1:19" x14ac:dyDescent="0.3">
      <c r="A289" s="1">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1">
        <v>45774</v>
      </c>
      <c r="R289" s="1">
        <v>45780</v>
      </c>
      <c r="S289" t="s">
        <v>2926</v>
      </c>
    </row>
    <row r="290" spans="1:19" x14ac:dyDescent="0.3">
      <c r="A290" s="1">
        <v>45555</v>
      </c>
      <c r="B290" t="s">
        <v>20</v>
      </c>
      <c r="C290" t="s">
        <v>25</v>
      </c>
      <c r="D290">
        <v>6</v>
      </c>
      <c r="E290">
        <v>170.1</v>
      </c>
      <c r="F290" t="s">
        <v>32</v>
      </c>
      <c r="G290" t="s">
        <v>36</v>
      </c>
      <c r="H290">
        <v>0</v>
      </c>
      <c r="I290" t="s">
        <v>37</v>
      </c>
      <c r="J290">
        <v>1020.6</v>
      </c>
      <c r="K290" t="s">
        <v>44</v>
      </c>
      <c r="L290" t="s">
        <v>48</v>
      </c>
      <c r="M290">
        <v>0</v>
      </c>
      <c r="N290" t="s">
        <v>339</v>
      </c>
      <c r="O290" t="s">
        <v>1833</v>
      </c>
      <c r="P290">
        <v>38.61</v>
      </c>
      <c r="Q290" s="1">
        <v>45555</v>
      </c>
      <c r="R290" s="1">
        <v>45558</v>
      </c>
      <c r="S290" t="s">
        <v>2923</v>
      </c>
    </row>
    <row r="291" spans="1:19" x14ac:dyDescent="0.3">
      <c r="A291" s="1">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1">
        <v>45177</v>
      </c>
      <c r="R291" s="1">
        <v>45184</v>
      </c>
      <c r="S291" t="s">
        <v>2926</v>
      </c>
    </row>
    <row r="292" spans="1:19" x14ac:dyDescent="0.3">
      <c r="A292" s="1">
        <v>45767</v>
      </c>
      <c r="B292" t="s">
        <v>20</v>
      </c>
      <c r="C292" t="s">
        <v>24</v>
      </c>
      <c r="D292">
        <v>5</v>
      </c>
      <c r="E292">
        <v>578.91999999999996</v>
      </c>
      <c r="F292" t="s">
        <v>32</v>
      </c>
      <c r="G292" t="s">
        <v>35</v>
      </c>
      <c r="H292">
        <v>0</v>
      </c>
      <c r="I292" t="s">
        <v>42</v>
      </c>
      <c r="J292">
        <v>2894.6</v>
      </c>
      <c r="K292" t="s">
        <v>45</v>
      </c>
      <c r="M292">
        <v>1</v>
      </c>
      <c r="N292" t="s">
        <v>341</v>
      </c>
      <c r="O292" t="s">
        <v>1835</v>
      </c>
      <c r="P292">
        <v>44.09</v>
      </c>
      <c r="Q292" s="1">
        <v>45767</v>
      </c>
      <c r="R292" s="1">
        <v>45775</v>
      </c>
      <c r="S292" t="s">
        <v>2923</v>
      </c>
    </row>
    <row r="293" spans="1:19" x14ac:dyDescent="0.3">
      <c r="A293" s="1">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1">
        <v>45463</v>
      </c>
      <c r="R293" s="1">
        <v>45470</v>
      </c>
      <c r="S293" t="s">
        <v>2924</v>
      </c>
    </row>
    <row r="294" spans="1:19" x14ac:dyDescent="0.3">
      <c r="A294" s="1">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1">
        <v>44937</v>
      </c>
      <c r="R294" s="1">
        <v>44946</v>
      </c>
      <c r="S294" t="s">
        <v>2922</v>
      </c>
    </row>
    <row r="295" spans="1:19" x14ac:dyDescent="0.3">
      <c r="A295" s="1">
        <v>45111</v>
      </c>
      <c r="B295" t="s">
        <v>21</v>
      </c>
      <c r="C295" t="s">
        <v>26</v>
      </c>
      <c r="D295">
        <v>17</v>
      </c>
      <c r="E295">
        <v>468.19</v>
      </c>
      <c r="F295" t="s">
        <v>34</v>
      </c>
      <c r="G295" t="s">
        <v>36</v>
      </c>
      <c r="H295">
        <v>0.05</v>
      </c>
      <c r="I295" t="s">
        <v>41</v>
      </c>
      <c r="J295">
        <v>7561.2684999999992</v>
      </c>
      <c r="K295" t="s">
        <v>47</v>
      </c>
      <c r="M295">
        <v>0</v>
      </c>
      <c r="N295" t="s">
        <v>344</v>
      </c>
      <c r="O295" t="s">
        <v>1838</v>
      </c>
      <c r="P295">
        <v>13.84</v>
      </c>
      <c r="Q295" s="1">
        <v>45111</v>
      </c>
      <c r="R295" s="1">
        <v>45114</v>
      </c>
      <c r="S295" t="s">
        <v>2924</v>
      </c>
    </row>
    <row r="296" spans="1:19" x14ac:dyDescent="0.3">
      <c r="A296" s="1">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1">
        <v>45724</v>
      </c>
      <c r="R296" s="1">
        <v>45734</v>
      </c>
      <c r="S296" t="s">
        <v>2925</v>
      </c>
    </row>
    <row r="297" spans="1:19" x14ac:dyDescent="0.3">
      <c r="A297" s="1">
        <v>45698</v>
      </c>
      <c r="B297" t="s">
        <v>20</v>
      </c>
      <c r="C297" t="s">
        <v>27</v>
      </c>
      <c r="D297">
        <v>6</v>
      </c>
      <c r="E297">
        <v>521.1</v>
      </c>
      <c r="F297" t="s">
        <v>32</v>
      </c>
      <c r="G297" t="s">
        <v>35</v>
      </c>
      <c r="H297">
        <v>0.15</v>
      </c>
      <c r="I297" t="s">
        <v>39</v>
      </c>
      <c r="J297">
        <v>2657.61</v>
      </c>
      <c r="K297" t="s">
        <v>47</v>
      </c>
      <c r="M297">
        <v>0</v>
      </c>
      <c r="N297" t="s">
        <v>346</v>
      </c>
      <c r="O297" t="s">
        <v>1840</v>
      </c>
      <c r="P297">
        <v>31.14</v>
      </c>
      <c r="Q297" s="1">
        <v>45698</v>
      </c>
      <c r="R297" s="1">
        <v>45700</v>
      </c>
      <c r="S297" t="s">
        <v>2923</v>
      </c>
    </row>
    <row r="298" spans="1:19" x14ac:dyDescent="0.3">
      <c r="A298" s="1">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1">
        <v>45733</v>
      </c>
      <c r="R298" s="1">
        <v>45737</v>
      </c>
      <c r="S298" t="s">
        <v>2926</v>
      </c>
    </row>
    <row r="299" spans="1:19" x14ac:dyDescent="0.3">
      <c r="A299" s="1">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1">
        <v>45239</v>
      </c>
      <c r="R299" s="1">
        <v>45245</v>
      </c>
      <c r="S299" t="s">
        <v>2922</v>
      </c>
    </row>
    <row r="300" spans="1:19" x14ac:dyDescent="0.3">
      <c r="A300" s="1">
        <v>45260</v>
      </c>
      <c r="B300" t="s">
        <v>22</v>
      </c>
      <c r="C300" t="s">
        <v>30</v>
      </c>
      <c r="D300">
        <v>15</v>
      </c>
      <c r="E300">
        <v>354.09</v>
      </c>
      <c r="F300" t="s">
        <v>31</v>
      </c>
      <c r="G300" t="s">
        <v>36</v>
      </c>
      <c r="H300">
        <v>0.05</v>
      </c>
      <c r="I300" t="s">
        <v>40</v>
      </c>
      <c r="J300">
        <v>5045.7824999999993</v>
      </c>
      <c r="K300" t="s">
        <v>43</v>
      </c>
      <c r="M300">
        <v>1</v>
      </c>
      <c r="N300" t="s">
        <v>349</v>
      </c>
      <c r="O300" t="s">
        <v>1843</v>
      </c>
      <c r="P300">
        <v>25.3</v>
      </c>
      <c r="Q300" s="1">
        <v>45260</v>
      </c>
      <c r="R300" s="1">
        <v>45268</v>
      </c>
      <c r="S300" t="s">
        <v>2925</v>
      </c>
    </row>
    <row r="301" spans="1:19" x14ac:dyDescent="0.3">
      <c r="A301" s="1">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1">
        <v>45519</v>
      </c>
      <c r="R301" s="1">
        <v>45524</v>
      </c>
      <c r="S301" t="s">
        <v>2923</v>
      </c>
    </row>
    <row r="302" spans="1:19" x14ac:dyDescent="0.3">
      <c r="A302" s="1">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1">
        <v>45006</v>
      </c>
      <c r="R302" s="1">
        <v>45011</v>
      </c>
      <c r="S302" t="s">
        <v>2926</v>
      </c>
    </row>
    <row r="303" spans="1:19" x14ac:dyDescent="0.3">
      <c r="A303" s="1">
        <v>45225</v>
      </c>
      <c r="B303" t="s">
        <v>23</v>
      </c>
      <c r="C303" t="s">
        <v>28</v>
      </c>
      <c r="D303">
        <v>2</v>
      </c>
      <c r="E303">
        <v>124.4</v>
      </c>
      <c r="F303" t="s">
        <v>31</v>
      </c>
      <c r="G303" t="s">
        <v>36</v>
      </c>
      <c r="H303">
        <v>0</v>
      </c>
      <c r="I303" t="s">
        <v>37</v>
      </c>
      <c r="J303">
        <v>248.8</v>
      </c>
      <c r="K303" t="s">
        <v>43</v>
      </c>
      <c r="M303">
        <v>0</v>
      </c>
      <c r="N303" t="s">
        <v>352</v>
      </c>
      <c r="O303" t="s">
        <v>1846</v>
      </c>
      <c r="P303">
        <v>37.049999999999997</v>
      </c>
      <c r="Q303" s="1">
        <v>45225</v>
      </c>
      <c r="R303" s="1">
        <v>45230</v>
      </c>
      <c r="S303" t="s">
        <v>2926</v>
      </c>
    </row>
    <row r="304" spans="1:19" x14ac:dyDescent="0.3">
      <c r="A304" s="1">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1">
        <v>45233</v>
      </c>
      <c r="R304" s="1">
        <v>45241</v>
      </c>
      <c r="S304" t="s">
        <v>2926</v>
      </c>
    </row>
    <row r="305" spans="1:19" x14ac:dyDescent="0.3">
      <c r="A305" s="1">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1">
        <v>45687</v>
      </c>
      <c r="R305" s="1">
        <v>45693</v>
      </c>
      <c r="S305" t="s">
        <v>2924</v>
      </c>
    </row>
    <row r="306" spans="1:19" x14ac:dyDescent="0.3">
      <c r="A306" s="1">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1">
        <v>45316</v>
      </c>
      <c r="R306" s="1">
        <v>45325</v>
      </c>
      <c r="S306" t="s">
        <v>2926</v>
      </c>
    </row>
    <row r="307" spans="1:19" x14ac:dyDescent="0.3">
      <c r="A307" s="1">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1">
        <v>45745</v>
      </c>
      <c r="R307" s="1">
        <v>45749</v>
      </c>
      <c r="S307" t="s">
        <v>2923</v>
      </c>
    </row>
    <row r="308" spans="1:19" x14ac:dyDescent="0.3">
      <c r="A308" s="1">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1">
        <v>45598</v>
      </c>
      <c r="R308" s="1">
        <v>45605</v>
      </c>
      <c r="S308" t="s">
        <v>2925</v>
      </c>
    </row>
    <row r="309" spans="1:19" x14ac:dyDescent="0.3">
      <c r="A309" s="1">
        <v>45473</v>
      </c>
      <c r="B309" t="s">
        <v>22</v>
      </c>
      <c r="C309" t="s">
        <v>27</v>
      </c>
      <c r="D309">
        <v>11</v>
      </c>
      <c r="E309">
        <v>535.37</v>
      </c>
      <c r="F309" t="s">
        <v>34</v>
      </c>
      <c r="G309" t="s">
        <v>35</v>
      </c>
      <c r="H309">
        <v>0</v>
      </c>
      <c r="I309" t="s">
        <v>39</v>
      </c>
      <c r="J309">
        <v>5889.07</v>
      </c>
      <c r="K309" t="s">
        <v>47</v>
      </c>
      <c r="M309">
        <v>0</v>
      </c>
      <c r="N309" t="s">
        <v>358</v>
      </c>
      <c r="O309" t="s">
        <v>1852</v>
      </c>
      <c r="P309">
        <v>35.96</v>
      </c>
      <c r="Q309" s="1">
        <v>45473</v>
      </c>
      <c r="R309" s="1">
        <v>45482</v>
      </c>
      <c r="S309" t="s">
        <v>2925</v>
      </c>
    </row>
    <row r="310" spans="1:19" x14ac:dyDescent="0.3">
      <c r="A310" s="1">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1">
        <v>44937</v>
      </c>
      <c r="R310" s="1">
        <v>44945</v>
      </c>
      <c r="S310" t="s">
        <v>2923</v>
      </c>
    </row>
    <row r="311" spans="1:19" x14ac:dyDescent="0.3">
      <c r="A311" s="1">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1">
        <v>45813</v>
      </c>
      <c r="R311" s="1">
        <v>45822</v>
      </c>
      <c r="S311" t="s">
        <v>2924</v>
      </c>
    </row>
    <row r="312" spans="1:19" x14ac:dyDescent="0.3">
      <c r="A312" s="1">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1">
        <v>45372</v>
      </c>
      <c r="R312" s="1">
        <v>45375</v>
      </c>
      <c r="S312" t="s">
        <v>2924</v>
      </c>
    </row>
    <row r="313" spans="1:19" x14ac:dyDescent="0.3">
      <c r="A313" s="1">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1">
        <v>45169</v>
      </c>
      <c r="R313" s="1">
        <v>45177</v>
      </c>
      <c r="S313" t="s">
        <v>2923</v>
      </c>
    </row>
    <row r="314" spans="1:19" x14ac:dyDescent="0.3">
      <c r="A314" s="1">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1">
        <v>45572</v>
      </c>
      <c r="R314" s="1">
        <v>45582</v>
      </c>
      <c r="S314" t="s">
        <v>2923</v>
      </c>
    </row>
    <row r="315" spans="1:19" x14ac:dyDescent="0.3">
      <c r="A315" s="1">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1">
        <v>45028</v>
      </c>
      <c r="R315" s="1">
        <v>45031</v>
      </c>
      <c r="S315" t="s">
        <v>2924</v>
      </c>
    </row>
    <row r="316" spans="1:19" x14ac:dyDescent="0.3">
      <c r="A316" s="1">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1">
        <v>45236</v>
      </c>
      <c r="R316" s="1">
        <v>45246</v>
      </c>
      <c r="S316" t="s">
        <v>2923</v>
      </c>
    </row>
    <row r="317" spans="1:19" x14ac:dyDescent="0.3">
      <c r="A317" s="1">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1">
        <v>45044</v>
      </c>
      <c r="R317" s="1">
        <v>45054</v>
      </c>
      <c r="S317" t="s">
        <v>2926</v>
      </c>
    </row>
    <row r="318" spans="1:19" x14ac:dyDescent="0.3">
      <c r="A318" s="1">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1">
        <v>45278</v>
      </c>
      <c r="R318" s="1">
        <v>45281</v>
      </c>
      <c r="S318" t="s">
        <v>2926</v>
      </c>
    </row>
    <row r="319" spans="1:19" x14ac:dyDescent="0.3">
      <c r="A319" s="1">
        <v>45575</v>
      </c>
      <c r="B319" t="s">
        <v>20</v>
      </c>
      <c r="C319" t="s">
        <v>25</v>
      </c>
      <c r="D319">
        <v>13</v>
      </c>
      <c r="E319">
        <v>114.03</v>
      </c>
      <c r="F319" t="s">
        <v>32</v>
      </c>
      <c r="G319" t="s">
        <v>36</v>
      </c>
      <c r="H319">
        <v>0</v>
      </c>
      <c r="I319" t="s">
        <v>42</v>
      </c>
      <c r="J319">
        <v>1482.39</v>
      </c>
      <c r="K319" t="s">
        <v>47</v>
      </c>
      <c r="M319">
        <v>0</v>
      </c>
      <c r="N319" t="s">
        <v>368</v>
      </c>
      <c r="O319" t="s">
        <v>1862</v>
      </c>
      <c r="P319">
        <v>43.81</v>
      </c>
      <c r="Q319" s="1">
        <v>45575</v>
      </c>
      <c r="R319" s="1">
        <v>45581</v>
      </c>
      <c r="S319" t="s">
        <v>2923</v>
      </c>
    </row>
    <row r="320" spans="1:19" x14ac:dyDescent="0.3">
      <c r="A320" s="1">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1">
        <v>44962</v>
      </c>
      <c r="R320" s="1">
        <v>44964</v>
      </c>
      <c r="S320" t="s">
        <v>2924</v>
      </c>
    </row>
    <row r="321" spans="1:19" x14ac:dyDescent="0.3">
      <c r="A321" s="1">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1">
        <v>45508</v>
      </c>
      <c r="R321" s="1">
        <v>45518</v>
      </c>
      <c r="S321" t="s">
        <v>2925</v>
      </c>
    </row>
    <row r="322" spans="1:19" x14ac:dyDescent="0.3">
      <c r="A322" s="1">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1">
        <v>45588</v>
      </c>
      <c r="R322" s="1">
        <v>45597</v>
      </c>
      <c r="S322" t="s">
        <v>2925</v>
      </c>
    </row>
    <row r="323" spans="1:19" x14ac:dyDescent="0.3">
      <c r="A323" s="1">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1">
        <v>45335</v>
      </c>
      <c r="R323" s="1">
        <v>45342</v>
      </c>
      <c r="S323" t="s">
        <v>2926</v>
      </c>
    </row>
    <row r="324" spans="1:19" x14ac:dyDescent="0.3">
      <c r="A324" s="1">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1">
        <v>45446</v>
      </c>
      <c r="R324" s="1">
        <v>45450</v>
      </c>
      <c r="S324" t="s">
        <v>2923</v>
      </c>
    </row>
    <row r="325" spans="1:19" x14ac:dyDescent="0.3">
      <c r="A325" s="1">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1">
        <v>45030</v>
      </c>
      <c r="R325" s="1">
        <v>45034</v>
      </c>
      <c r="S325" t="s">
        <v>2923</v>
      </c>
    </row>
    <row r="326" spans="1:19" x14ac:dyDescent="0.3">
      <c r="A326" s="1">
        <v>45584</v>
      </c>
      <c r="B326" t="s">
        <v>22</v>
      </c>
      <c r="C326" t="s">
        <v>24</v>
      </c>
      <c r="D326">
        <v>16</v>
      </c>
      <c r="E326">
        <v>436.31</v>
      </c>
      <c r="F326" t="s">
        <v>33</v>
      </c>
      <c r="G326" t="s">
        <v>36</v>
      </c>
      <c r="H326">
        <v>0.05</v>
      </c>
      <c r="I326" t="s">
        <v>41</v>
      </c>
      <c r="J326">
        <v>6631.9119999999994</v>
      </c>
      <c r="K326" t="s">
        <v>43</v>
      </c>
      <c r="M326">
        <v>0</v>
      </c>
      <c r="N326" t="s">
        <v>375</v>
      </c>
      <c r="O326" t="s">
        <v>1869</v>
      </c>
      <c r="P326">
        <v>47.61</v>
      </c>
      <c r="Q326" s="1">
        <v>45584</v>
      </c>
      <c r="R326" s="1">
        <v>45588</v>
      </c>
      <c r="S326" t="s">
        <v>2925</v>
      </c>
    </row>
    <row r="327" spans="1:19" x14ac:dyDescent="0.3">
      <c r="A327" s="1">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1">
        <v>45278</v>
      </c>
      <c r="R327" s="1">
        <v>45282</v>
      </c>
      <c r="S327" t="s">
        <v>2923</v>
      </c>
    </row>
    <row r="328" spans="1:19" x14ac:dyDescent="0.3">
      <c r="A328" s="1">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1">
        <v>45169</v>
      </c>
      <c r="R328" s="1">
        <v>45175</v>
      </c>
      <c r="S328" t="s">
        <v>2924</v>
      </c>
    </row>
    <row r="329" spans="1:19" x14ac:dyDescent="0.3">
      <c r="A329" s="1">
        <v>45188</v>
      </c>
      <c r="B329" t="s">
        <v>20</v>
      </c>
      <c r="C329" t="s">
        <v>24</v>
      </c>
      <c r="D329">
        <v>4</v>
      </c>
      <c r="E329">
        <v>547.55999999999995</v>
      </c>
      <c r="F329" t="s">
        <v>34</v>
      </c>
      <c r="G329" t="s">
        <v>36</v>
      </c>
      <c r="H329">
        <v>0.15</v>
      </c>
      <c r="I329" t="s">
        <v>39</v>
      </c>
      <c r="J329">
        <v>1861.704</v>
      </c>
      <c r="K329" t="s">
        <v>44</v>
      </c>
      <c r="M329">
        <v>0</v>
      </c>
      <c r="N329" t="s">
        <v>378</v>
      </c>
      <c r="O329" t="s">
        <v>1872</v>
      </c>
      <c r="P329">
        <v>25.88</v>
      </c>
      <c r="Q329" s="1">
        <v>45188</v>
      </c>
      <c r="R329" s="1">
        <v>45195</v>
      </c>
      <c r="S329" t="s">
        <v>2923</v>
      </c>
    </row>
    <row r="330" spans="1:19" x14ac:dyDescent="0.3">
      <c r="A330" s="1">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1">
        <v>44984</v>
      </c>
      <c r="R330" s="1">
        <v>44989</v>
      </c>
      <c r="S330" t="s">
        <v>2925</v>
      </c>
    </row>
    <row r="331" spans="1:19" x14ac:dyDescent="0.3">
      <c r="A331" s="1">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1">
        <v>45319</v>
      </c>
      <c r="R331" s="1">
        <v>45322</v>
      </c>
      <c r="S331" t="s">
        <v>2923</v>
      </c>
    </row>
    <row r="332" spans="1:19" x14ac:dyDescent="0.3">
      <c r="A332" s="1">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1">
        <v>45783</v>
      </c>
      <c r="R332" s="1">
        <v>45787</v>
      </c>
      <c r="S332" t="s">
        <v>2923</v>
      </c>
    </row>
    <row r="333" spans="1:19" x14ac:dyDescent="0.3">
      <c r="A333" s="1">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1">
        <v>45548</v>
      </c>
      <c r="R333" s="1">
        <v>45550</v>
      </c>
      <c r="S333" t="s">
        <v>2922</v>
      </c>
    </row>
    <row r="334" spans="1:19" x14ac:dyDescent="0.3">
      <c r="A334" s="1">
        <v>45071</v>
      </c>
      <c r="B334" t="s">
        <v>19</v>
      </c>
      <c r="C334" t="s">
        <v>30</v>
      </c>
      <c r="D334">
        <v>13</v>
      </c>
      <c r="E334">
        <v>211.06</v>
      </c>
      <c r="F334" t="s">
        <v>31</v>
      </c>
      <c r="G334" t="s">
        <v>36</v>
      </c>
      <c r="H334">
        <v>0.1</v>
      </c>
      <c r="I334" t="s">
        <v>42</v>
      </c>
      <c r="J334">
        <v>2469.402</v>
      </c>
      <c r="K334" t="s">
        <v>44</v>
      </c>
      <c r="M334">
        <v>1</v>
      </c>
      <c r="N334" t="s">
        <v>383</v>
      </c>
      <c r="O334" t="s">
        <v>1877</v>
      </c>
      <c r="P334">
        <v>19.579999999999998</v>
      </c>
      <c r="Q334" s="1">
        <v>45071</v>
      </c>
      <c r="R334" s="1">
        <v>45075</v>
      </c>
      <c r="S334" t="s">
        <v>2922</v>
      </c>
    </row>
    <row r="335" spans="1:19" x14ac:dyDescent="0.3">
      <c r="A335" s="1">
        <v>45561</v>
      </c>
      <c r="B335" t="s">
        <v>20</v>
      </c>
      <c r="C335" t="s">
        <v>29</v>
      </c>
      <c r="D335">
        <v>7</v>
      </c>
      <c r="E335">
        <v>88.87</v>
      </c>
      <c r="F335" t="s">
        <v>33</v>
      </c>
      <c r="G335" t="s">
        <v>36</v>
      </c>
      <c r="H335">
        <v>0</v>
      </c>
      <c r="I335" t="s">
        <v>38</v>
      </c>
      <c r="J335">
        <v>622.09</v>
      </c>
      <c r="K335" t="s">
        <v>43</v>
      </c>
      <c r="L335" t="s">
        <v>49</v>
      </c>
      <c r="M335">
        <v>0</v>
      </c>
      <c r="N335" t="s">
        <v>384</v>
      </c>
      <c r="O335" t="s">
        <v>1878</v>
      </c>
      <c r="P335">
        <v>8.36</v>
      </c>
      <c r="Q335" s="1">
        <v>45561</v>
      </c>
      <c r="R335" s="1">
        <v>45566</v>
      </c>
      <c r="S335" t="s">
        <v>2923</v>
      </c>
    </row>
    <row r="336" spans="1:19" x14ac:dyDescent="0.3">
      <c r="A336" s="1">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1">
        <v>44970</v>
      </c>
      <c r="R336" s="1">
        <v>44975</v>
      </c>
      <c r="S336" t="s">
        <v>2923</v>
      </c>
    </row>
    <row r="337" spans="1:19" x14ac:dyDescent="0.3">
      <c r="A337" s="1">
        <v>45463</v>
      </c>
      <c r="B337" t="s">
        <v>22</v>
      </c>
      <c r="C337" t="s">
        <v>27</v>
      </c>
      <c r="D337">
        <v>5</v>
      </c>
      <c r="E337">
        <v>432.35</v>
      </c>
      <c r="F337" t="s">
        <v>33</v>
      </c>
      <c r="G337" t="s">
        <v>35</v>
      </c>
      <c r="H337">
        <v>0.1</v>
      </c>
      <c r="I337" t="s">
        <v>42</v>
      </c>
      <c r="J337">
        <v>1945.575</v>
      </c>
      <c r="K337" t="s">
        <v>44</v>
      </c>
      <c r="M337">
        <v>1</v>
      </c>
      <c r="N337" t="s">
        <v>386</v>
      </c>
      <c r="O337" t="s">
        <v>1880</v>
      </c>
      <c r="P337">
        <v>41.48</v>
      </c>
      <c r="Q337" s="1">
        <v>45463</v>
      </c>
      <c r="R337" s="1">
        <v>45470</v>
      </c>
      <c r="S337" t="s">
        <v>2925</v>
      </c>
    </row>
    <row r="338" spans="1:19" x14ac:dyDescent="0.3">
      <c r="A338" s="1">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1">
        <v>45373</v>
      </c>
      <c r="R338" s="1">
        <v>45376</v>
      </c>
      <c r="S338" t="s">
        <v>2926</v>
      </c>
    </row>
    <row r="339" spans="1:19" x14ac:dyDescent="0.3">
      <c r="A339" s="1">
        <v>45330</v>
      </c>
      <c r="B339" t="s">
        <v>23</v>
      </c>
      <c r="C339" t="s">
        <v>28</v>
      </c>
      <c r="D339">
        <v>11</v>
      </c>
      <c r="E339">
        <v>151.25</v>
      </c>
      <c r="F339" t="s">
        <v>31</v>
      </c>
      <c r="G339" t="s">
        <v>35</v>
      </c>
      <c r="H339">
        <v>0.1</v>
      </c>
      <c r="I339" t="s">
        <v>39</v>
      </c>
      <c r="J339">
        <v>1497.375</v>
      </c>
      <c r="K339" t="s">
        <v>45</v>
      </c>
      <c r="M339">
        <v>1</v>
      </c>
      <c r="N339" t="s">
        <v>388</v>
      </c>
      <c r="O339" t="s">
        <v>1882</v>
      </c>
      <c r="P339">
        <v>22.65</v>
      </c>
      <c r="Q339" s="1">
        <v>45330</v>
      </c>
      <c r="R339" s="1">
        <v>45333</v>
      </c>
      <c r="S339" t="s">
        <v>2926</v>
      </c>
    </row>
    <row r="340" spans="1:19" x14ac:dyDescent="0.3">
      <c r="A340" s="1">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1">
        <v>45444</v>
      </c>
      <c r="R340" s="1">
        <v>45447</v>
      </c>
      <c r="S340" t="s">
        <v>2922</v>
      </c>
    </row>
    <row r="341" spans="1:19" x14ac:dyDescent="0.3">
      <c r="A341" s="1">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1">
        <v>45438</v>
      </c>
      <c r="R341" s="1">
        <v>45444</v>
      </c>
      <c r="S341" t="s">
        <v>2924</v>
      </c>
    </row>
    <row r="342" spans="1:19" x14ac:dyDescent="0.3">
      <c r="A342" s="1">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1">
        <v>45468</v>
      </c>
      <c r="R342" s="1">
        <v>45473</v>
      </c>
      <c r="S342" t="s">
        <v>2922</v>
      </c>
    </row>
    <row r="343" spans="1:19" x14ac:dyDescent="0.3">
      <c r="A343" s="1">
        <v>45320</v>
      </c>
      <c r="B343" t="s">
        <v>22</v>
      </c>
      <c r="C343" t="s">
        <v>30</v>
      </c>
      <c r="D343">
        <v>16</v>
      </c>
      <c r="E343">
        <v>598.48</v>
      </c>
      <c r="F343" t="s">
        <v>32</v>
      </c>
      <c r="G343" t="s">
        <v>36</v>
      </c>
      <c r="H343">
        <v>0.1</v>
      </c>
      <c r="I343" t="s">
        <v>39</v>
      </c>
      <c r="J343">
        <v>8618.112000000001</v>
      </c>
      <c r="K343" t="s">
        <v>47</v>
      </c>
      <c r="M343">
        <v>0</v>
      </c>
      <c r="N343" t="s">
        <v>392</v>
      </c>
      <c r="O343" t="s">
        <v>1885</v>
      </c>
      <c r="P343">
        <v>47.86</v>
      </c>
      <c r="Q343" s="1">
        <v>45320</v>
      </c>
      <c r="R343" s="1">
        <v>45329</v>
      </c>
      <c r="S343" t="s">
        <v>2925</v>
      </c>
    </row>
    <row r="344" spans="1:19" x14ac:dyDescent="0.3">
      <c r="A344" s="1">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1">
        <v>45633</v>
      </c>
      <c r="R344" s="1">
        <v>45635</v>
      </c>
      <c r="S344" t="s">
        <v>2923</v>
      </c>
    </row>
    <row r="345" spans="1:19" x14ac:dyDescent="0.3">
      <c r="A345" s="1">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1">
        <v>45251</v>
      </c>
      <c r="R345" s="1">
        <v>45256</v>
      </c>
      <c r="S345" t="s">
        <v>2926</v>
      </c>
    </row>
    <row r="346" spans="1:19" x14ac:dyDescent="0.3">
      <c r="A346" s="1">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1">
        <v>45642</v>
      </c>
      <c r="R346" s="1">
        <v>45650</v>
      </c>
      <c r="S346" t="s">
        <v>2924</v>
      </c>
    </row>
    <row r="347" spans="1:19" x14ac:dyDescent="0.3">
      <c r="A347" s="1">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1">
        <v>45143</v>
      </c>
      <c r="R347" s="1">
        <v>45153</v>
      </c>
      <c r="S347" t="s">
        <v>2925</v>
      </c>
    </row>
    <row r="348" spans="1:19" x14ac:dyDescent="0.3">
      <c r="A348" s="1">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1">
        <v>45168</v>
      </c>
      <c r="R348" s="1">
        <v>45175</v>
      </c>
      <c r="S348" t="s">
        <v>2925</v>
      </c>
    </row>
    <row r="349" spans="1:19" x14ac:dyDescent="0.3">
      <c r="A349" s="1">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1">
        <v>45741</v>
      </c>
      <c r="R349" s="1">
        <v>45743</v>
      </c>
      <c r="S349" t="s">
        <v>2922</v>
      </c>
    </row>
    <row r="350" spans="1:19" x14ac:dyDescent="0.3">
      <c r="A350" s="1">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1">
        <v>45639</v>
      </c>
      <c r="R350" s="1">
        <v>45648</v>
      </c>
      <c r="S350" t="s">
        <v>2924</v>
      </c>
    </row>
    <row r="351" spans="1:19" x14ac:dyDescent="0.3">
      <c r="A351" s="1">
        <v>45176</v>
      </c>
      <c r="B351" t="s">
        <v>22</v>
      </c>
      <c r="C351" t="s">
        <v>25</v>
      </c>
      <c r="D351">
        <v>14</v>
      </c>
      <c r="E351">
        <v>52.09</v>
      </c>
      <c r="F351" t="s">
        <v>32</v>
      </c>
      <c r="G351" t="s">
        <v>36</v>
      </c>
      <c r="H351">
        <v>0</v>
      </c>
      <c r="I351" t="s">
        <v>42</v>
      </c>
      <c r="J351">
        <v>729.26</v>
      </c>
      <c r="K351" t="s">
        <v>44</v>
      </c>
      <c r="M351">
        <v>1</v>
      </c>
      <c r="N351" t="s">
        <v>400</v>
      </c>
      <c r="O351" t="s">
        <v>1893</v>
      </c>
      <c r="P351">
        <v>48.02</v>
      </c>
      <c r="Q351" s="1">
        <v>45176</v>
      </c>
      <c r="R351" s="1">
        <v>45183</v>
      </c>
      <c r="S351" t="s">
        <v>2925</v>
      </c>
    </row>
    <row r="352" spans="1:19" x14ac:dyDescent="0.3">
      <c r="A352" s="1">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1">
        <v>45272</v>
      </c>
      <c r="R352" s="1">
        <v>45281</v>
      </c>
      <c r="S352" t="s">
        <v>2924</v>
      </c>
    </row>
    <row r="353" spans="1:19" x14ac:dyDescent="0.3">
      <c r="A353" s="1">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1">
        <v>45407</v>
      </c>
      <c r="R353" s="1">
        <v>45417</v>
      </c>
      <c r="S353" t="s">
        <v>2922</v>
      </c>
    </row>
    <row r="354" spans="1:19" x14ac:dyDescent="0.3">
      <c r="A354" s="1">
        <v>45781</v>
      </c>
      <c r="B354" t="s">
        <v>21</v>
      </c>
      <c r="C354" t="s">
        <v>24</v>
      </c>
      <c r="D354">
        <v>8</v>
      </c>
      <c r="E354">
        <v>294.51</v>
      </c>
      <c r="F354" t="s">
        <v>32</v>
      </c>
      <c r="G354" t="s">
        <v>35</v>
      </c>
      <c r="H354">
        <v>0.15</v>
      </c>
      <c r="I354" t="s">
        <v>41</v>
      </c>
      <c r="J354">
        <v>2002.6679999999999</v>
      </c>
      <c r="K354" t="s">
        <v>44</v>
      </c>
      <c r="M354">
        <v>0</v>
      </c>
      <c r="N354" t="s">
        <v>403</v>
      </c>
      <c r="O354" t="s">
        <v>1896</v>
      </c>
      <c r="P354">
        <v>10.46</v>
      </c>
      <c r="Q354" s="1">
        <v>45781</v>
      </c>
      <c r="R354" s="1">
        <v>45784</v>
      </c>
      <c r="S354" t="s">
        <v>2924</v>
      </c>
    </row>
    <row r="355" spans="1:19" x14ac:dyDescent="0.3">
      <c r="A355" s="1">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1">
        <v>45185</v>
      </c>
      <c r="R355" s="1">
        <v>45189</v>
      </c>
      <c r="S355" t="s">
        <v>2923</v>
      </c>
    </row>
    <row r="356" spans="1:19" x14ac:dyDescent="0.3">
      <c r="A356" s="1">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1">
        <v>45588</v>
      </c>
      <c r="R356" s="1">
        <v>45591</v>
      </c>
      <c r="S356" t="s">
        <v>2926</v>
      </c>
    </row>
    <row r="357" spans="1:19" x14ac:dyDescent="0.3">
      <c r="A357" s="1">
        <v>45049</v>
      </c>
      <c r="B357" t="s">
        <v>21</v>
      </c>
      <c r="C357" t="s">
        <v>26</v>
      </c>
      <c r="D357">
        <v>2</v>
      </c>
      <c r="E357">
        <v>97.5</v>
      </c>
      <c r="F357" t="s">
        <v>34</v>
      </c>
      <c r="G357" t="s">
        <v>36</v>
      </c>
      <c r="H357">
        <v>0.1</v>
      </c>
      <c r="I357" t="s">
        <v>38</v>
      </c>
      <c r="J357">
        <v>175.5</v>
      </c>
      <c r="K357" t="s">
        <v>47</v>
      </c>
      <c r="M357">
        <v>1</v>
      </c>
      <c r="N357" t="s">
        <v>406</v>
      </c>
      <c r="O357" t="s">
        <v>1899</v>
      </c>
      <c r="P357">
        <v>46.37</v>
      </c>
      <c r="Q357" s="1">
        <v>45049</v>
      </c>
      <c r="R357" s="1">
        <v>45052</v>
      </c>
      <c r="S357" t="s">
        <v>2924</v>
      </c>
    </row>
    <row r="358" spans="1:19" x14ac:dyDescent="0.3">
      <c r="A358" s="1">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1">
        <v>45734</v>
      </c>
      <c r="R358" s="1">
        <v>45741</v>
      </c>
      <c r="S358" t="s">
        <v>2924</v>
      </c>
    </row>
    <row r="359" spans="1:19" x14ac:dyDescent="0.3">
      <c r="A359" s="1">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1">
        <v>45163</v>
      </c>
      <c r="R359" s="1">
        <v>45165</v>
      </c>
      <c r="S359" t="s">
        <v>2926</v>
      </c>
    </row>
    <row r="360" spans="1:19" x14ac:dyDescent="0.3">
      <c r="A360" s="1">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1">
        <v>45120</v>
      </c>
      <c r="R360" s="1">
        <v>45124</v>
      </c>
      <c r="S360" t="s">
        <v>2924</v>
      </c>
    </row>
    <row r="361" spans="1:19" x14ac:dyDescent="0.3">
      <c r="A361" s="1">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1">
        <v>45713</v>
      </c>
      <c r="R361" s="1">
        <v>45722</v>
      </c>
      <c r="S361" t="s">
        <v>2924</v>
      </c>
    </row>
    <row r="362" spans="1:19" x14ac:dyDescent="0.3">
      <c r="A362" s="1">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1">
        <v>45761</v>
      </c>
      <c r="R362" s="1">
        <v>45764</v>
      </c>
      <c r="S362" t="s">
        <v>2925</v>
      </c>
    </row>
    <row r="363" spans="1:19" x14ac:dyDescent="0.3">
      <c r="A363" s="1">
        <v>45823</v>
      </c>
      <c r="B363" t="s">
        <v>22</v>
      </c>
      <c r="C363" t="s">
        <v>26</v>
      </c>
      <c r="D363">
        <v>5</v>
      </c>
      <c r="E363">
        <v>5.52</v>
      </c>
      <c r="F363" t="s">
        <v>33</v>
      </c>
      <c r="G363" t="s">
        <v>36</v>
      </c>
      <c r="H363">
        <v>0.05</v>
      </c>
      <c r="I363" t="s">
        <v>38</v>
      </c>
      <c r="J363">
        <v>26.22</v>
      </c>
      <c r="K363" t="s">
        <v>45</v>
      </c>
      <c r="L363" t="s">
        <v>48</v>
      </c>
      <c r="M363">
        <v>0</v>
      </c>
      <c r="N363" t="s">
        <v>412</v>
      </c>
      <c r="O363" t="s">
        <v>1904</v>
      </c>
      <c r="P363">
        <v>10.58</v>
      </c>
      <c r="Q363" s="1">
        <v>45823</v>
      </c>
      <c r="R363" s="1">
        <v>45826</v>
      </c>
      <c r="S363" t="s">
        <v>2925</v>
      </c>
    </row>
    <row r="364" spans="1:19" x14ac:dyDescent="0.3">
      <c r="A364" s="1">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1">
        <v>45587</v>
      </c>
      <c r="R364" s="1">
        <v>45592</v>
      </c>
      <c r="S364" t="s">
        <v>2924</v>
      </c>
    </row>
    <row r="365" spans="1:19" x14ac:dyDescent="0.3">
      <c r="A365" s="1">
        <v>45097</v>
      </c>
      <c r="B365" t="s">
        <v>20</v>
      </c>
      <c r="C365" t="s">
        <v>24</v>
      </c>
      <c r="D365">
        <v>9</v>
      </c>
      <c r="E365">
        <v>282.8</v>
      </c>
      <c r="F365" t="s">
        <v>34</v>
      </c>
      <c r="G365" t="s">
        <v>35</v>
      </c>
      <c r="H365">
        <v>0.05</v>
      </c>
      <c r="I365" t="s">
        <v>37</v>
      </c>
      <c r="J365">
        <v>2417.94</v>
      </c>
      <c r="K365" t="s">
        <v>43</v>
      </c>
      <c r="M365">
        <v>0</v>
      </c>
      <c r="N365" t="s">
        <v>414</v>
      </c>
      <c r="O365" t="s">
        <v>1906</v>
      </c>
      <c r="P365">
        <v>49.79</v>
      </c>
      <c r="Q365" s="1">
        <v>45097</v>
      </c>
      <c r="R365" s="1">
        <v>45102</v>
      </c>
      <c r="S365" t="s">
        <v>2923</v>
      </c>
    </row>
    <row r="366" spans="1:19" x14ac:dyDescent="0.3">
      <c r="A366" s="1">
        <v>45721</v>
      </c>
      <c r="B366" t="s">
        <v>20</v>
      </c>
      <c r="C366" t="s">
        <v>25</v>
      </c>
      <c r="D366">
        <v>6</v>
      </c>
      <c r="E366">
        <v>525.42999999999995</v>
      </c>
      <c r="F366" t="s">
        <v>33</v>
      </c>
      <c r="G366" t="s">
        <v>35</v>
      </c>
      <c r="H366">
        <v>0.05</v>
      </c>
      <c r="I366" t="s">
        <v>38</v>
      </c>
      <c r="J366">
        <v>2994.951</v>
      </c>
      <c r="K366" t="s">
        <v>45</v>
      </c>
      <c r="M366">
        <v>0</v>
      </c>
      <c r="N366" t="s">
        <v>415</v>
      </c>
      <c r="O366" t="s">
        <v>1907</v>
      </c>
      <c r="P366">
        <v>39.28</v>
      </c>
      <c r="Q366" s="1">
        <v>45721</v>
      </c>
      <c r="R366" s="1">
        <v>45727</v>
      </c>
      <c r="S366" t="s">
        <v>2923</v>
      </c>
    </row>
    <row r="367" spans="1:19" x14ac:dyDescent="0.3">
      <c r="A367" s="1">
        <v>45227</v>
      </c>
      <c r="B367" t="s">
        <v>23</v>
      </c>
      <c r="C367" t="s">
        <v>29</v>
      </c>
      <c r="D367">
        <v>15</v>
      </c>
      <c r="E367">
        <v>127.67</v>
      </c>
      <c r="F367" t="s">
        <v>34</v>
      </c>
      <c r="G367" t="s">
        <v>36</v>
      </c>
      <c r="H367">
        <v>0.1</v>
      </c>
      <c r="I367" t="s">
        <v>38</v>
      </c>
      <c r="J367">
        <v>1723.5450000000001</v>
      </c>
      <c r="K367" t="s">
        <v>46</v>
      </c>
      <c r="M367">
        <v>0</v>
      </c>
      <c r="N367" t="s">
        <v>416</v>
      </c>
      <c r="O367" t="s">
        <v>1908</v>
      </c>
      <c r="P367">
        <v>48.77</v>
      </c>
      <c r="Q367" s="1">
        <v>45227</v>
      </c>
      <c r="R367" s="1">
        <v>45229</v>
      </c>
      <c r="S367" t="s">
        <v>2926</v>
      </c>
    </row>
    <row r="368" spans="1:19" x14ac:dyDescent="0.3">
      <c r="A368" s="1">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1">
        <v>45735</v>
      </c>
      <c r="R368" s="1">
        <v>45742</v>
      </c>
      <c r="S368" t="s">
        <v>2925</v>
      </c>
    </row>
    <row r="369" spans="1:19" x14ac:dyDescent="0.3">
      <c r="A369" s="1">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1">
        <v>45144</v>
      </c>
      <c r="R369" s="1">
        <v>45146</v>
      </c>
      <c r="S369" t="s">
        <v>2926</v>
      </c>
    </row>
    <row r="370" spans="1:19" x14ac:dyDescent="0.3">
      <c r="A370" s="1">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1">
        <v>45546</v>
      </c>
      <c r="R370" s="1">
        <v>45554</v>
      </c>
      <c r="S370" t="s">
        <v>2925</v>
      </c>
    </row>
    <row r="371" spans="1:19" x14ac:dyDescent="0.3">
      <c r="A371" s="1">
        <v>45665</v>
      </c>
      <c r="B371" t="s">
        <v>22</v>
      </c>
      <c r="C371" t="s">
        <v>27</v>
      </c>
      <c r="D371">
        <v>4</v>
      </c>
      <c r="E371">
        <v>353.7</v>
      </c>
      <c r="F371" t="s">
        <v>32</v>
      </c>
      <c r="G371" t="s">
        <v>35</v>
      </c>
      <c r="H371">
        <v>0</v>
      </c>
      <c r="I371" t="s">
        <v>39</v>
      </c>
      <c r="J371">
        <v>1414.8</v>
      </c>
      <c r="K371" t="s">
        <v>45</v>
      </c>
      <c r="L371" t="s">
        <v>48</v>
      </c>
      <c r="M371">
        <v>0</v>
      </c>
      <c r="N371" t="s">
        <v>420</v>
      </c>
      <c r="O371" t="s">
        <v>1912</v>
      </c>
      <c r="P371">
        <v>41.98</v>
      </c>
      <c r="Q371" s="1">
        <v>45665</v>
      </c>
      <c r="R371" s="1">
        <v>45669</v>
      </c>
      <c r="S371" t="s">
        <v>2925</v>
      </c>
    </row>
    <row r="372" spans="1:19" x14ac:dyDescent="0.3">
      <c r="A372" s="1">
        <v>45516</v>
      </c>
      <c r="B372" t="s">
        <v>22</v>
      </c>
      <c r="C372" t="s">
        <v>27</v>
      </c>
      <c r="D372">
        <v>3</v>
      </c>
      <c r="E372">
        <v>149.25</v>
      </c>
      <c r="F372" t="s">
        <v>34</v>
      </c>
      <c r="G372" t="s">
        <v>35</v>
      </c>
      <c r="H372">
        <v>0</v>
      </c>
      <c r="I372" t="s">
        <v>40</v>
      </c>
      <c r="J372">
        <v>447.75</v>
      </c>
      <c r="K372" t="s">
        <v>46</v>
      </c>
      <c r="M372">
        <v>1</v>
      </c>
      <c r="N372" t="s">
        <v>421</v>
      </c>
      <c r="O372" t="s">
        <v>1913</v>
      </c>
      <c r="P372">
        <v>13.17</v>
      </c>
      <c r="Q372" s="1">
        <v>45516</v>
      </c>
      <c r="R372" s="1">
        <v>45518</v>
      </c>
      <c r="S372" t="s">
        <v>2925</v>
      </c>
    </row>
    <row r="373" spans="1:19" x14ac:dyDescent="0.3">
      <c r="A373" s="1">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1">
        <v>45015</v>
      </c>
      <c r="R373" s="1">
        <v>45020</v>
      </c>
      <c r="S373" t="s">
        <v>2924</v>
      </c>
    </row>
    <row r="374" spans="1:19" x14ac:dyDescent="0.3">
      <c r="A374" s="1">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1">
        <v>44958</v>
      </c>
      <c r="R374" s="1">
        <v>44966</v>
      </c>
      <c r="S374" t="s">
        <v>2925</v>
      </c>
    </row>
    <row r="375" spans="1:19" x14ac:dyDescent="0.3">
      <c r="A375" s="1">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1">
        <v>45765</v>
      </c>
      <c r="R375" s="1">
        <v>45774</v>
      </c>
      <c r="S375" t="s">
        <v>2924</v>
      </c>
    </row>
    <row r="376" spans="1:19" x14ac:dyDescent="0.3">
      <c r="A376" s="1">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1">
        <v>45745</v>
      </c>
      <c r="R376" s="1">
        <v>45749</v>
      </c>
      <c r="S376" t="s">
        <v>2925</v>
      </c>
    </row>
    <row r="377" spans="1:19" x14ac:dyDescent="0.3">
      <c r="A377" s="1">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1">
        <v>45407</v>
      </c>
      <c r="R377" s="1">
        <v>45410</v>
      </c>
      <c r="S377" t="s">
        <v>2922</v>
      </c>
    </row>
    <row r="378" spans="1:19" x14ac:dyDescent="0.3">
      <c r="A378" s="1">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1">
        <v>45557</v>
      </c>
      <c r="R378" s="1">
        <v>45562</v>
      </c>
      <c r="S378" t="s">
        <v>2923</v>
      </c>
    </row>
    <row r="379" spans="1:19" x14ac:dyDescent="0.3">
      <c r="A379" s="1">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1">
        <v>45143</v>
      </c>
      <c r="R379" s="1">
        <v>45152</v>
      </c>
      <c r="S379" t="s">
        <v>2925</v>
      </c>
    </row>
    <row r="380" spans="1:19" x14ac:dyDescent="0.3">
      <c r="A380" s="1">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1">
        <v>45450</v>
      </c>
      <c r="R380" s="1">
        <v>45454</v>
      </c>
      <c r="S380" t="s">
        <v>2923</v>
      </c>
    </row>
    <row r="381" spans="1:19" x14ac:dyDescent="0.3">
      <c r="A381" s="1">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1">
        <v>45801</v>
      </c>
      <c r="R381" s="1">
        <v>45807</v>
      </c>
      <c r="S381" t="s">
        <v>2922</v>
      </c>
    </row>
    <row r="382" spans="1:19" x14ac:dyDescent="0.3">
      <c r="A382" s="1">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1">
        <v>45491</v>
      </c>
      <c r="R382" s="1">
        <v>45498</v>
      </c>
      <c r="S382" t="s">
        <v>2923</v>
      </c>
    </row>
    <row r="383" spans="1:19" x14ac:dyDescent="0.3">
      <c r="A383" s="1">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1">
        <v>45487</v>
      </c>
      <c r="R383" s="1">
        <v>45489</v>
      </c>
      <c r="S383" t="s">
        <v>2926</v>
      </c>
    </row>
    <row r="384" spans="1:19" x14ac:dyDescent="0.3">
      <c r="A384" s="1">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1">
        <v>45030</v>
      </c>
      <c r="R384" s="1">
        <v>45035</v>
      </c>
      <c r="S384" t="s">
        <v>2925</v>
      </c>
    </row>
    <row r="385" spans="1:19" x14ac:dyDescent="0.3">
      <c r="A385" s="1">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1">
        <v>45078</v>
      </c>
      <c r="R385" s="1">
        <v>45083</v>
      </c>
      <c r="S385" t="s">
        <v>2923</v>
      </c>
    </row>
    <row r="386" spans="1:19" x14ac:dyDescent="0.3">
      <c r="A386" s="1">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1">
        <v>45764</v>
      </c>
      <c r="R386" s="1">
        <v>45767</v>
      </c>
      <c r="S386" t="s">
        <v>2925</v>
      </c>
    </row>
    <row r="387" spans="1:19" x14ac:dyDescent="0.3">
      <c r="A387" s="1">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1">
        <v>45747</v>
      </c>
      <c r="R387" s="1">
        <v>45756</v>
      </c>
      <c r="S387" t="s">
        <v>2922</v>
      </c>
    </row>
    <row r="388" spans="1:19" x14ac:dyDescent="0.3">
      <c r="A388" s="1">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1">
        <v>45488</v>
      </c>
      <c r="R388" s="1">
        <v>45495</v>
      </c>
      <c r="S388" t="s">
        <v>2922</v>
      </c>
    </row>
    <row r="389" spans="1:19" x14ac:dyDescent="0.3">
      <c r="A389" s="1">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1">
        <v>45534</v>
      </c>
      <c r="R389" s="1">
        <v>45536</v>
      </c>
      <c r="S389" t="s">
        <v>2923</v>
      </c>
    </row>
    <row r="390" spans="1:19" x14ac:dyDescent="0.3">
      <c r="A390" s="1">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1">
        <v>45664</v>
      </c>
      <c r="R390" s="1">
        <v>45667</v>
      </c>
      <c r="S390" t="s">
        <v>2925</v>
      </c>
    </row>
    <row r="391" spans="1:19" x14ac:dyDescent="0.3">
      <c r="A391" s="1">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1">
        <v>45693</v>
      </c>
      <c r="R391" s="1">
        <v>45699</v>
      </c>
      <c r="S391" t="s">
        <v>2923</v>
      </c>
    </row>
    <row r="392" spans="1:19" x14ac:dyDescent="0.3">
      <c r="A392" s="1">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1">
        <v>45383</v>
      </c>
      <c r="R392" s="1">
        <v>45386</v>
      </c>
      <c r="S392" t="s">
        <v>2924</v>
      </c>
    </row>
    <row r="393" spans="1:19" x14ac:dyDescent="0.3">
      <c r="A393" s="1">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1">
        <v>45717</v>
      </c>
      <c r="R393" s="1">
        <v>45725</v>
      </c>
      <c r="S393" t="s">
        <v>2926</v>
      </c>
    </row>
    <row r="394" spans="1:19" x14ac:dyDescent="0.3">
      <c r="A394" s="1">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1">
        <v>45110</v>
      </c>
      <c r="R394" s="1">
        <v>45113</v>
      </c>
      <c r="S394" t="s">
        <v>2925</v>
      </c>
    </row>
    <row r="395" spans="1:19" x14ac:dyDescent="0.3">
      <c r="A395" s="1">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1">
        <v>45041</v>
      </c>
      <c r="R395" s="1">
        <v>45047</v>
      </c>
      <c r="S395" t="s">
        <v>2925</v>
      </c>
    </row>
    <row r="396" spans="1:19" x14ac:dyDescent="0.3">
      <c r="A396" s="1">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1">
        <v>45756</v>
      </c>
      <c r="R396" s="1">
        <v>45766</v>
      </c>
      <c r="S396" t="s">
        <v>2926</v>
      </c>
    </row>
    <row r="397" spans="1:19" x14ac:dyDescent="0.3">
      <c r="A397" s="1">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1">
        <v>45235</v>
      </c>
      <c r="R397" s="1">
        <v>45242</v>
      </c>
      <c r="S397" t="s">
        <v>2924</v>
      </c>
    </row>
    <row r="398" spans="1:19" x14ac:dyDescent="0.3">
      <c r="A398" s="1">
        <v>44939</v>
      </c>
      <c r="B398" t="s">
        <v>19</v>
      </c>
      <c r="C398" t="s">
        <v>24</v>
      </c>
      <c r="D398">
        <v>9</v>
      </c>
      <c r="E398">
        <v>223.01</v>
      </c>
      <c r="F398" t="s">
        <v>33</v>
      </c>
      <c r="G398" t="s">
        <v>36</v>
      </c>
      <c r="H398">
        <v>0</v>
      </c>
      <c r="I398" t="s">
        <v>41</v>
      </c>
      <c r="J398">
        <v>2007.09</v>
      </c>
      <c r="K398" t="s">
        <v>47</v>
      </c>
      <c r="M398">
        <v>1</v>
      </c>
      <c r="N398" t="s">
        <v>447</v>
      </c>
      <c r="O398" t="s">
        <v>1938</v>
      </c>
      <c r="P398">
        <v>11.9</v>
      </c>
      <c r="Q398" s="1">
        <v>44939</v>
      </c>
      <c r="R398" s="1">
        <v>44945</v>
      </c>
      <c r="S398" t="s">
        <v>2922</v>
      </c>
    </row>
    <row r="399" spans="1:19" x14ac:dyDescent="0.3">
      <c r="A399" s="1">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1">
        <v>45694</v>
      </c>
      <c r="R399" s="1">
        <v>45698</v>
      </c>
      <c r="S399" t="s">
        <v>2926</v>
      </c>
    </row>
    <row r="400" spans="1:19" x14ac:dyDescent="0.3">
      <c r="A400" s="1">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1">
        <v>45066</v>
      </c>
      <c r="R400" s="1">
        <v>45071</v>
      </c>
      <c r="S400" t="s">
        <v>2923</v>
      </c>
    </row>
    <row r="401" spans="1:19" x14ac:dyDescent="0.3">
      <c r="A401" s="1">
        <v>45826</v>
      </c>
      <c r="B401" t="s">
        <v>19</v>
      </c>
      <c r="C401" t="s">
        <v>26</v>
      </c>
      <c r="D401">
        <v>4</v>
      </c>
      <c r="E401">
        <v>109.05</v>
      </c>
      <c r="F401" t="s">
        <v>34</v>
      </c>
      <c r="G401" t="s">
        <v>35</v>
      </c>
      <c r="H401">
        <v>0</v>
      </c>
      <c r="I401" t="s">
        <v>41</v>
      </c>
      <c r="J401">
        <v>436.2</v>
      </c>
      <c r="K401" t="s">
        <v>44</v>
      </c>
      <c r="L401" t="s">
        <v>50</v>
      </c>
      <c r="M401">
        <v>0</v>
      </c>
      <c r="N401" t="s">
        <v>450</v>
      </c>
      <c r="O401" t="s">
        <v>1941</v>
      </c>
      <c r="P401">
        <v>21.02</v>
      </c>
      <c r="Q401" s="1">
        <v>45826</v>
      </c>
      <c r="R401" s="1">
        <v>45832</v>
      </c>
      <c r="S401" t="s">
        <v>2922</v>
      </c>
    </row>
    <row r="402" spans="1:19" x14ac:dyDescent="0.3">
      <c r="A402" s="1">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1">
        <v>44980</v>
      </c>
      <c r="R402" s="1">
        <v>44984</v>
      </c>
      <c r="S402" t="s">
        <v>2926</v>
      </c>
    </row>
    <row r="403" spans="1:19" x14ac:dyDescent="0.3">
      <c r="A403" s="1">
        <v>45605</v>
      </c>
      <c r="B403" t="s">
        <v>19</v>
      </c>
      <c r="C403" t="s">
        <v>30</v>
      </c>
      <c r="D403">
        <v>15</v>
      </c>
      <c r="E403">
        <v>380.03</v>
      </c>
      <c r="F403" t="s">
        <v>32</v>
      </c>
      <c r="G403" t="s">
        <v>36</v>
      </c>
      <c r="H403">
        <v>0</v>
      </c>
      <c r="I403" t="s">
        <v>42</v>
      </c>
      <c r="J403">
        <v>5700.45</v>
      </c>
      <c r="K403" t="s">
        <v>43</v>
      </c>
      <c r="M403">
        <v>0</v>
      </c>
      <c r="N403" t="s">
        <v>452</v>
      </c>
      <c r="O403" t="s">
        <v>1943</v>
      </c>
      <c r="P403">
        <v>25.72</v>
      </c>
      <c r="Q403" s="1">
        <v>45605</v>
      </c>
      <c r="R403" s="1">
        <v>45608</v>
      </c>
      <c r="S403" t="s">
        <v>2922</v>
      </c>
    </row>
    <row r="404" spans="1:19" x14ac:dyDescent="0.3">
      <c r="A404" s="1">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1">
        <v>45498</v>
      </c>
      <c r="R404" s="1">
        <v>45504</v>
      </c>
      <c r="S404" t="s">
        <v>2923</v>
      </c>
    </row>
    <row r="405" spans="1:19" x14ac:dyDescent="0.3">
      <c r="A405" s="1">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1">
        <v>45157</v>
      </c>
      <c r="R405" s="1">
        <v>45161</v>
      </c>
      <c r="S405" t="s">
        <v>2926</v>
      </c>
    </row>
    <row r="406" spans="1:19" x14ac:dyDescent="0.3">
      <c r="A406" s="1">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1">
        <v>45243</v>
      </c>
      <c r="R406" s="1">
        <v>45245</v>
      </c>
      <c r="S406" t="s">
        <v>2923</v>
      </c>
    </row>
    <row r="407" spans="1:19" x14ac:dyDescent="0.3">
      <c r="A407" s="1">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1">
        <v>45545</v>
      </c>
      <c r="R407" s="1">
        <v>45553</v>
      </c>
      <c r="S407" t="s">
        <v>2926</v>
      </c>
    </row>
    <row r="408" spans="1:19" x14ac:dyDescent="0.3">
      <c r="A408" s="1">
        <v>45534</v>
      </c>
      <c r="B408" t="s">
        <v>22</v>
      </c>
      <c r="C408" t="s">
        <v>27</v>
      </c>
      <c r="D408">
        <v>13</v>
      </c>
      <c r="E408">
        <v>567.5</v>
      </c>
      <c r="F408" t="s">
        <v>32</v>
      </c>
      <c r="G408" t="s">
        <v>36</v>
      </c>
      <c r="H408">
        <v>0</v>
      </c>
      <c r="I408" t="s">
        <v>37</v>
      </c>
      <c r="J408">
        <v>7377.5</v>
      </c>
      <c r="K408" t="s">
        <v>45</v>
      </c>
      <c r="M408">
        <v>0</v>
      </c>
      <c r="N408" t="s">
        <v>457</v>
      </c>
      <c r="O408" t="s">
        <v>1948</v>
      </c>
      <c r="P408">
        <v>28.41</v>
      </c>
      <c r="Q408" s="1">
        <v>45534</v>
      </c>
      <c r="R408" s="1">
        <v>45537</v>
      </c>
      <c r="S408" t="s">
        <v>2925</v>
      </c>
    </row>
    <row r="409" spans="1:19" x14ac:dyDescent="0.3">
      <c r="A409" s="1">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1">
        <v>45606</v>
      </c>
      <c r="R409" s="1">
        <v>45613</v>
      </c>
      <c r="S409" t="s">
        <v>2922</v>
      </c>
    </row>
    <row r="410" spans="1:19" x14ac:dyDescent="0.3">
      <c r="A410" s="1">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1">
        <v>45029</v>
      </c>
      <c r="R410" s="1">
        <v>45035</v>
      </c>
      <c r="S410" t="s">
        <v>2922</v>
      </c>
    </row>
    <row r="411" spans="1:19" x14ac:dyDescent="0.3">
      <c r="A411" s="1">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1">
        <v>45250</v>
      </c>
      <c r="R411" s="1">
        <v>45257</v>
      </c>
      <c r="S411" t="s">
        <v>2922</v>
      </c>
    </row>
    <row r="412" spans="1:19" x14ac:dyDescent="0.3">
      <c r="A412" s="1">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1">
        <v>45761</v>
      </c>
      <c r="R412" s="1">
        <v>45766</v>
      </c>
      <c r="S412" t="s">
        <v>2924</v>
      </c>
    </row>
    <row r="413" spans="1:19" x14ac:dyDescent="0.3">
      <c r="A413" s="1">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1">
        <v>44989</v>
      </c>
      <c r="R413" s="1">
        <v>44994</v>
      </c>
      <c r="S413" t="s">
        <v>2925</v>
      </c>
    </row>
    <row r="414" spans="1:19" x14ac:dyDescent="0.3">
      <c r="A414" s="1">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1">
        <v>45612</v>
      </c>
      <c r="R414" s="1">
        <v>45615</v>
      </c>
      <c r="S414" t="s">
        <v>2924</v>
      </c>
    </row>
    <row r="415" spans="1:19" x14ac:dyDescent="0.3">
      <c r="A415" s="1">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1">
        <v>45437</v>
      </c>
      <c r="R415" s="1">
        <v>45445</v>
      </c>
      <c r="S415" t="s">
        <v>2923</v>
      </c>
    </row>
    <row r="416" spans="1:19" x14ac:dyDescent="0.3">
      <c r="A416" s="1">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1">
        <v>45028</v>
      </c>
      <c r="R416" s="1">
        <v>45031</v>
      </c>
      <c r="S416" t="s">
        <v>2922</v>
      </c>
    </row>
    <row r="417" spans="1:19" x14ac:dyDescent="0.3">
      <c r="A417" s="1">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1">
        <v>44992</v>
      </c>
      <c r="R417" s="1">
        <v>44998</v>
      </c>
      <c r="S417" t="s">
        <v>2923</v>
      </c>
    </row>
    <row r="418" spans="1:19" x14ac:dyDescent="0.3">
      <c r="A418" s="1">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1">
        <v>45296</v>
      </c>
      <c r="R418" s="1">
        <v>45302</v>
      </c>
      <c r="S418" t="s">
        <v>2925</v>
      </c>
    </row>
    <row r="419" spans="1:19" x14ac:dyDescent="0.3">
      <c r="A419" s="1">
        <v>45596</v>
      </c>
      <c r="B419" t="s">
        <v>23</v>
      </c>
      <c r="C419" t="s">
        <v>26</v>
      </c>
      <c r="D419">
        <v>17</v>
      </c>
      <c r="E419">
        <v>82.2</v>
      </c>
      <c r="F419" t="s">
        <v>33</v>
      </c>
      <c r="G419" t="s">
        <v>35</v>
      </c>
      <c r="H419">
        <v>0</v>
      </c>
      <c r="I419" t="s">
        <v>38</v>
      </c>
      <c r="J419">
        <v>1397.4</v>
      </c>
      <c r="K419" t="s">
        <v>47</v>
      </c>
      <c r="L419" t="s">
        <v>50</v>
      </c>
      <c r="M419">
        <v>0</v>
      </c>
      <c r="N419" t="s">
        <v>468</v>
      </c>
      <c r="O419" t="s">
        <v>1957</v>
      </c>
      <c r="P419">
        <v>32.5</v>
      </c>
      <c r="Q419" s="1">
        <v>45596</v>
      </c>
      <c r="R419" s="1">
        <v>45606</v>
      </c>
      <c r="S419" t="s">
        <v>2926</v>
      </c>
    </row>
    <row r="420" spans="1:19" x14ac:dyDescent="0.3">
      <c r="A420" s="1">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1">
        <v>45420</v>
      </c>
      <c r="R420" s="1">
        <v>45426</v>
      </c>
      <c r="S420" t="s">
        <v>2926</v>
      </c>
    </row>
    <row r="421" spans="1:19" x14ac:dyDescent="0.3">
      <c r="A421" s="1">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1">
        <v>45356</v>
      </c>
      <c r="R421" s="1">
        <v>45366</v>
      </c>
      <c r="S421" t="s">
        <v>2925</v>
      </c>
    </row>
    <row r="422" spans="1:19" x14ac:dyDescent="0.3">
      <c r="A422" s="1">
        <v>45125</v>
      </c>
      <c r="B422" t="s">
        <v>21</v>
      </c>
      <c r="C422" t="s">
        <v>24</v>
      </c>
      <c r="D422">
        <v>12</v>
      </c>
      <c r="E422">
        <v>425.78</v>
      </c>
      <c r="F422" t="s">
        <v>32</v>
      </c>
      <c r="G422" t="s">
        <v>36</v>
      </c>
      <c r="H422">
        <v>0.1</v>
      </c>
      <c r="I422" t="s">
        <v>42</v>
      </c>
      <c r="J422">
        <v>4598.424</v>
      </c>
      <c r="K422" t="s">
        <v>43</v>
      </c>
      <c r="M422">
        <v>1</v>
      </c>
      <c r="N422" t="s">
        <v>471</v>
      </c>
      <c r="O422" t="s">
        <v>1960</v>
      </c>
      <c r="P422">
        <v>25.48</v>
      </c>
      <c r="Q422" s="1">
        <v>45125</v>
      </c>
      <c r="R422" s="1">
        <v>45129</v>
      </c>
      <c r="S422" t="s">
        <v>2924</v>
      </c>
    </row>
    <row r="423" spans="1:19" x14ac:dyDescent="0.3">
      <c r="A423" s="1">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1">
        <v>45143</v>
      </c>
      <c r="R423" s="1">
        <v>45152</v>
      </c>
      <c r="S423" t="s">
        <v>2923</v>
      </c>
    </row>
    <row r="424" spans="1:19" x14ac:dyDescent="0.3">
      <c r="A424" s="1">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1">
        <v>45187</v>
      </c>
      <c r="R424" s="1">
        <v>45189</v>
      </c>
      <c r="S424" t="s">
        <v>2926</v>
      </c>
    </row>
    <row r="425" spans="1:19" x14ac:dyDescent="0.3">
      <c r="A425" s="1">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1">
        <v>45012</v>
      </c>
      <c r="R425" s="1">
        <v>45014</v>
      </c>
      <c r="S425" t="s">
        <v>2923</v>
      </c>
    </row>
    <row r="426" spans="1:19" x14ac:dyDescent="0.3">
      <c r="A426" s="1">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1">
        <v>44993</v>
      </c>
      <c r="R426" s="1">
        <v>45002</v>
      </c>
      <c r="S426" t="s">
        <v>2922</v>
      </c>
    </row>
    <row r="427" spans="1:19" x14ac:dyDescent="0.3">
      <c r="A427" s="1">
        <v>45414</v>
      </c>
      <c r="B427" t="s">
        <v>23</v>
      </c>
      <c r="C427" t="s">
        <v>26</v>
      </c>
      <c r="D427">
        <v>5</v>
      </c>
      <c r="E427">
        <v>245.2</v>
      </c>
      <c r="F427" t="s">
        <v>31</v>
      </c>
      <c r="G427" t="s">
        <v>36</v>
      </c>
      <c r="H427">
        <v>0.15</v>
      </c>
      <c r="I427" t="s">
        <v>37</v>
      </c>
      <c r="J427">
        <v>1042.0999999999999</v>
      </c>
      <c r="K427" t="s">
        <v>43</v>
      </c>
      <c r="M427">
        <v>0</v>
      </c>
      <c r="N427" t="s">
        <v>476</v>
      </c>
      <c r="O427" t="s">
        <v>1965</v>
      </c>
      <c r="P427">
        <v>46.37</v>
      </c>
      <c r="Q427" s="1">
        <v>45414</v>
      </c>
      <c r="R427" s="1">
        <v>45418</v>
      </c>
      <c r="S427" t="s">
        <v>2926</v>
      </c>
    </row>
    <row r="428" spans="1:19" x14ac:dyDescent="0.3">
      <c r="A428" s="1">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1">
        <v>45185</v>
      </c>
      <c r="R428" s="1">
        <v>45195</v>
      </c>
      <c r="S428" t="s">
        <v>2924</v>
      </c>
    </row>
    <row r="429" spans="1:19" x14ac:dyDescent="0.3">
      <c r="A429" s="1">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1">
        <v>45090</v>
      </c>
      <c r="R429" s="1">
        <v>45099</v>
      </c>
      <c r="S429" t="s">
        <v>2923</v>
      </c>
    </row>
    <row r="430" spans="1:19" x14ac:dyDescent="0.3">
      <c r="A430" s="1">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1">
        <v>45235</v>
      </c>
      <c r="R430" s="1">
        <v>45238</v>
      </c>
      <c r="S430" t="s">
        <v>2924</v>
      </c>
    </row>
    <row r="431" spans="1:19" x14ac:dyDescent="0.3">
      <c r="A431" s="1">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1">
        <v>45619</v>
      </c>
      <c r="R431" s="1">
        <v>45622</v>
      </c>
      <c r="S431" t="s">
        <v>2923</v>
      </c>
    </row>
    <row r="432" spans="1:19" x14ac:dyDescent="0.3">
      <c r="A432" s="1">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1">
        <v>45331</v>
      </c>
      <c r="R432" s="1">
        <v>45340</v>
      </c>
      <c r="S432" t="s">
        <v>2925</v>
      </c>
    </row>
    <row r="433" spans="1:19" x14ac:dyDescent="0.3">
      <c r="A433" s="1">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1">
        <v>45246</v>
      </c>
      <c r="R433" s="1">
        <v>45252</v>
      </c>
      <c r="S433" t="s">
        <v>2925</v>
      </c>
    </row>
    <row r="434" spans="1:19" x14ac:dyDescent="0.3">
      <c r="A434" s="1">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1">
        <v>45681</v>
      </c>
      <c r="R434" s="1">
        <v>45686</v>
      </c>
      <c r="S434" t="s">
        <v>2925</v>
      </c>
    </row>
    <row r="435" spans="1:19" x14ac:dyDescent="0.3">
      <c r="A435" s="1">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1">
        <v>45783</v>
      </c>
      <c r="R435" s="1">
        <v>45786</v>
      </c>
      <c r="S435" t="s">
        <v>2925</v>
      </c>
    </row>
    <row r="436" spans="1:19" x14ac:dyDescent="0.3">
      <c r="A436" s="1">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1">
        <v>45794</v>
      </c>
      <c r="R436" s="1">
        <v>45804</v>
      </c>
      <c r="S436" t="s">
        <v>2922</v>
      </c>
    </row>
    <row r="437" spans="1:19" x14ac:dyDescent="0.3">
      <c r="A437" s="1">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1">
        <v>45259</v>
      </c>
      <c r="R437" s="1">
        <v>45261</v>
      </c>
      <c r="S437" t="s">
        <v>2925</v>
      </c>
    </row>
    <row r="438" spans="1:19" x14ac:dyDescent="0.3">
      <c r="A438" s="1">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1">
        <v>44981</v>
      </c>
      <c r="R438" s="1">
        <v>44983</v>
      </c>
      <c r="S438" t="s">
        <v>2923</v>
      </c>
    </row>
    <row r="439" spans="1:19" x14ac:dyDescent="0.3">
      <c r="A439" s="1">
        <v>45234</v>
      </c>
      <c r="B439" t="s">
        <v>20</v>
      </c>
      <c r="C439" t="s">
        <v>24</v>
      </c>
      <c r="D439">
        <v>18</v>
      </c>
      <c r="E439">
        <v>426.3</v>
      </c>
      <c r="F439" t="s">
        <v>32</v>
      </c>
      <c r="G439" t="s">
        <v>35</v>
      </c>
      <c r="H439">
        <v>0.15</v>
      </c>
      <c r="I439" t="s">
        <v>40</v>
      </c>
      <c r="J439">
        <v>6522.39</v>
      </c>
      <c r="K439" t="s">
        <v>45</v>
      </c>
      <c r="M439">
        <v>1</v>
      </c>
      <c r="N439" t="s">
        <v>488</v>
      </c>
      <c r="O439" t="s">
        <v>1977</v>
      </c>
      <c r="P439">
        <v>29.81</v>
      </c>
      <c r="Q439" s="1">
        <v>45234</v>
      </c>
      <c r="R439" s="1">
        <v>45240</v>
      </c>
      <c r="S439" t="s">
        <v>2923</v>
      </c>
    </row>
    <row r="440" spans="1:19" x14ac:dyDescent="0.3">
      <c r="A440" s="1">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1">
        <v>45458</v>
      </c>
      <c r="R440" s="1">
        <v>45465</v>
      </c>
      <c r="S440" t="s">
        <v>2922</v>
      </c>
    </row>
    <row r="441" spans="1:19" x14ac:dyDescent="0.3">
      <c r="A441" s="1">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1">
        <v>45567</v>
      </c>
      <c r="R441" s="1">
        <v>45571</v>
      </c>
      <c r="S441" t="s">
        <v>2924</v>
      </c>
    </row>
    <row r="442" spans="1:19" x14ac:dyDescent="0.3">
      <c r="A442" s="1">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1">
        <v>45080</v>
      </c>
      <c r="R442" s="1">
        <v>45090</v>
      </c>
      <c r="S442" t="s">
        <v>2926</v>
      </c>
    </row>
    <row r="443" spans="1:19" x14ac:dyDescent="0.3">
      <c r="A443" s="1">
        <v>45179</v>
      </c>
      <c r="B443" t="s">
        <v>19</v>
      </c>
      <c r="C443" t="s">
        <v>25</v>
      </c>
      <c r="D443">
        <v>6</v>
      </c>
      <c r="E443">
        <v>471.74</v>
      </c>
      <c r="F443" t="s">
        <v>33</v>
      </c>
      <c r="G443" t="s">
        <v>36</v>
      </c>
      <c r="H443">
        <v>0.15</v>
      </c>
      <c r="I443" t="s">
        <v>40</v>
      </c>
      <c r="J443">
        <v>2405.8739999999998</v>
      </c>
      <c r="K443" t="s">
        <v>43</v>
      </c>
      <c r="M443">
        <v>0</v>
      </c>
      <c r="N443" t="s">
        <v>492</v>
      </c>
      <c r="O443" t="s">
        <v>1981</v>
      </c>
      <c r="P443">
        <v>36.79</v>
      </c>
      <c r="Q443" s="1">
        <v>45179</v>
      </c>
      <c r="R443" s="1">
        <v>45187</v>
      </c>
      <c r="S443" t="s">
        <v>2922</v>
      </c>
    </row>
    <row r="444" spans="1:19" x14ac:dyDescent="0.3">
      <c r="A444" s="1">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1">
        <v>45797</v>
      </c>
      <c r="R444" s="1">
        <v>45799</v>
      </c>
      <c r="S444" t="s">
        <v>2925</v>
      </c>
    </row>
    <row r="445" spans="1:19" x14ac:dyDescent="0.3">
      <c r="A445" s="1">
        <v>45193</v>
      </c>
      <c r="B445" t="s">
        <v>21</v>
      </c>
      <c r="C445" t="s">
        <v>29</v>
      </c>
      <c r="D445">
        <v>13</v>
      </c>
      <c r="E445">
        <v>115.86</v>
      </c>
      <c r="F445" t="s">
        <v>32</v>
      </c>
      <c r="G445" t="s">
        <v>35</v>
      </c>
      <c r="H445">
        <v>0.1</v>
      </c>
      <c r="I445" t="s">
        <v>41</v>
      </c>
      <c r="J445">
        <v>1355.5619999999999</v>
      </c>
      <c r="K445" t="s">
        <v>47</v>
      </c>
      <c r="M445">
        <v>1</v>
      </c>
      <c r="N445" t="s">
        <v>494</v>
      </c>
      <c r="O445" t="s">
        <v>1983</v>
      </c>
      <c r="P445">
        <v>28.52</v>
      </c>
      <c r="Q445" s="1">
        <v>45193</v>
      </c>
      <c r="R445" s="1">
        <v>45202</v>
      </c>
      <c r="S445" t="s">
        <v>2924</v>
      </c>
    </row>
    <row r="446" spans="1:19" x14ac:dyDescent="0.3">
      <c r="A446" s="1">
        <v>45745</v>
      </c>
      <c r="B446" t="s">
        <v>19</v>
      </c>
      <c r="C446" t="s">
        <v>29</v>
      </c>
      <c r="D446">
        <v>18</v>
      </c>
      <c r="E446">
        <v>398.26</v>
      </c>
      <c r="F446" t="s">
        <v>31</v>
      </c>
      <c r="G446" t="s">
        <v>36</v>
      </c>
      <c r="H446">
        <v>0.1</v>
      </c>
      <c r="I446" t="s">
        <v>42</v>
      </c>
      <c r="J446">
        <v>6451.8120000000008</v>
      </c>
      <c r="K446" t="s">
        <v>46</v>
      </c>
      <c r="M446">
        <v>0</v>
      </c>
      <c r="N446" t="s">
        <v>495</v>
      </c>
      <c r="O446" t="s">
        <v>1984</v>
      </c>
      <c r="P446">
        <v>16.8</v>
      </c>
      <c r="Q446" s="1">
        <v>45745</v>
      </c>
      <c r="R446" s="1">
        <v>45751</v>
      </c>
      <c r="S446" t="s">
        <v>2922</v>
      </c>
    </row>
    <row r="447" spans="1:19" x14ac:dyDescent="0.3">
      <c r="A447" s="1">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1">
        <v>45094</v>
      </c>
      <c r="R447" s="1">
        <v>45102</v>
      </c>
      <c r="S447" t="s">
        <v>2922</v>
      </c>
    </row>
    <row r="448" spans="1:19" x14ac:dyDescent="0.3">
      <c r="A448" s="1">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1">
        <v>45319</v>
      </c>
      <c r="R448" s="1">
        <v>45327</v>
      </c>
      <c r="S448" t="s">
        <v>2926</v>
      </c>
    </row>
    <row r="449" spans="1:19" x14ac:dyDescent="0.3">
      <c r="A449" s="1">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1">
        <v>44999</v>
      </c>
      <c r="R449" s="1">
        <v>45002</v>
      </c>
      <c r="S449" t="s">
        <v>2925</v>
      </c>
    </row>
    <row r="450" spans="1:19" x14ac:dyDescent="0.3">
      <c r="A450" s="1">
        <v>45666</v>
      </c>
      <c r="B450" t="s">
        <v>19</v>
      </c>
      <c r="C450" t="s">
        <v>24</v>
      </c>
      <c r="D450">
        <v>12</v>
      </c>
      <c r="E450">
        <v>148.66</v>
      </c>
      <c r="F450" t="s">
        <v>32</v>
      </c>
      <c r="G450" t="s">
        <v>35</v>
      </c>
      <c r="H450">
        <v>0</v>
      </c>
      <c r="I450" t="s">
        <v>41</v>
      </c>
      <c r="J450">
        <v>1783.92</v>
      </c>
      <c r="K450" t="s">
        <v>43</v>
      </c>
      <c r="M450">
        <v>1</v>
      </c>
      <c r="N450" t="s">
        <v>499</v>
      </c>
      <c r="O450" t="s">
        <v>1988</v>
      </c>
      <c r="P450">
        <v>27.16</v>
      </c>
      <c r="Q450" s="1">
        <v>45666</v>
      </c>
      <c r="R450" s="1">
        <v>45674</v>
      </c>
      <c r="S450" t="s">
        <v>2922</v>
      </c>
    </row>
    <row r="451" spans="1:19" x14ac:dyDescent="0.3">
      <c r="A451" s="1">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1">
        <v>45746</v>
      </c>
      <c r="R451" s="1">
        <v>45753</v>
      </c>
      <c r="S451" t="s">
        <v>2925</v>
      </c>
    </row>
    <row r="452" spans="1:19" x14ac:dyDescent="0.3">
      <c r="A452" s="1">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1">
        <v>45222</v>
      </c>
      <c r="R452" s="1">
        <v>45227</v>
      </c>
      <c r="S452" t="s">
        <v>2922</v>
      </c>
    </row>
    <row r="453" spans="1:19" x14ac:dyDescent="0.3">
      <c r="A453" s="1">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1">
        <v>45816</v>
      </c>
      <c r="R453" s="1">
        <v>45822</v>
      </c>
      <c r="S453" t="s">
        <v>2926</v>
      </c>
    </row>
    <row r="454" spans="1:19" x14ac:dyDescent="0.3">
      <c r="A454" s="1">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1">
        <v>45348</v>
      </c>
      <c r="R454" s="1">
        <v>45351</v>
      </c>
      <c r="S454" t="s">
        <v>2926</v>
      </c>
    </row>
    <row r="455" spans="1:19" x14ac:dyDescent="0.3">
      <c r="A455" s="1">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1">
        <v>45595</v>
      </c>
      <c r="R455" s="1">
        <v>45603</v>
      </c>
      <c r="S455" t="s">
        <v>2922</v>
      </c>
    </row>
    <row r="456" spans="1:19" x14ac:dyDescent="0.3">
      <c r="A456" s="1">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1">
        <v>45523</v>
      </c>
      <c r="R456" s="1">
        <v>45527</v>
      </c>
      <c r="S456" t="s">
        <v>2923</v>
      </c>
    </row>
    <row r="457" spans="1:19" x14ac:dyDescent="0.3">
      <c r="A457" s="1">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1">
        <v>45137</v>
      </c>
      <c r="R457" s="1">
        <v>45147</v>
      </c>
      <c r="S457" t="s">
        <v>2925</v>
      </c>
    </row>
    <row r="458" spans="1:19" x14ac:dyDescent="0.3">
      <c r="A458" s="1">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1">
        <v>45517</v>
      </c>
      <c r="R458" s="1">
        <v>45527</v>
      </c>
      <c r="S458" t="s">
        <v>2924</v>
      </c>
    </row>
    <row r="459" spans="1:19" x14ac:dyDescent="0.3">
      <c r="A459" s="1">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1">
        <v>45234</v>
      </c>
      <c r="R459" s="1">
        <v>45242</v>
      </c>
      <c r="S459" t="s">
        <v>2924</v>
      </c>
    </row>
    <row r="460" spans="1:19" x14ac:dyDescent="0.3">
      <c r="A460" s="1">
        <v>45813</v>
      </c>
      <c r="B460" t="s">
        <v>19</v>
      </c>
      <c r="C460" t="s">
        <v>30</v>
      </c>
      <c r="D460">
        <v>19</v>
      </c>
      <c r="E460">
        <v>491.15</v>
      </c>
      <c r="F460" t="s">
        <v>33</v>
      </c>
      <c r="G460" t="s">
        <v>36</v>
      </c>
      <c r="H460">
        <v>0</v>
      </c>
      <c r="I460" t="s">
        <v>39</v>
      </c>
      <c r="J460">
        <v>9331.85</v>
      </c>
      <c r="K460" t="s">
        <v>43</v>
      </c>
      <c r="M460">
        <v>0</v>
      </c>
      <c r="N460" t="s">
        <v>509</v>
      </c>
      <c r="O460" t="s">
        <v>1996</v>
      </c>
      <c r="P460">
        <v>48.68</v>
      </c>
      <c r="Q460" s="1">
        <v>45813</v>
      </c>
      <c r="R460" s="1">
        <v>45823</v>
      </c>
      <c r="S460" t="s">
        <v>2922</v>
      </c>
    </row>
    <row r="461" spans="1:19" x14ac:dyDescent="0.3">
      <c r="A461" s="1">
        <v>45100</v>
      </c>
      <c r="B461" t="s">
        <v>21</v>
      </c>
      <c r="C461" t="s">
        <v>30</v>
      </c>
      <c r="D461">
        <v>5</v>
      </c>
      <c r="E461">
        <v>360.34</v>
      </c>
      <c r="F461" t="s">
        <v>33</v>
      </c>
      <c r="G461" t="s">
        <v>35</v>
      </c>
      <c r="H461">
        <v>0</v>
      </c>
      <c r="I461" t="s">
        <v>40</v>
      </c>
      <c r="J461">
        <v>1801.7</v>
      </c>
      <c r="K461" t="s">
        <v>44</v>
      </c>
      <c r="M461">
        <v>0</v>
      </c>
      <c r="N461" t="s">
        <v>510</v>
      </c>
      <c r="O461" t="s">
        <v>1997</v>
      </c>
      <c r="P461">
        <v>33.76</v>
      </c>
      <c r="Q461" s="1">
        <v>45100</v>
      </c>
      <c r="R461" s="1">
        <v>45105</v>
      </c>
      <c r="S461" t="s">
        <v>2924</v>
      </c>
    </row>
    <row r="462" spans="1:19" x14ac:dyDescent="0.3">
      <c r="A462" s="1">
        <v>45556</v>
      </c>
      <c r="B462" t="s">
        <v>20</v>
      </c>
      <c r="C462" t="s">
        <v>24</v>
      </c>
      <c r="D462">
        <v>20</v>
      </c>
      <c r="E462">
        <v>296.8</v>
      </c>
      <c r="F462" t="s">
        <v>32</v>
      </c>
      <c r="G462" t="s">
        <v>36</v>
      </c>
      <c r="H462">
        <v>0.1</v>
      </c>
      <c r="I462" t="s">
        <v>39</v>
      </c>
      <c r="J462">
        <v>5342.4000000000005</v>
      </c>
      <c r="K462" t="s">
        <v>44</v>
      </c>
      <c r="M462">
        <v>0</v>
      </c>
      <c r="N462" t="s">
        <v>511</v>
      </c>
      <c r="O462" t="s">
        <v>1998</v>
      </c>
      <c r="P462">
        <v>19.57</v>
      </c>
      <c r="Q462" s="1">
        <v>45556</v>
      </c>
      <c r="R462" s="1">
        <v>45563</v>
      </c>
      <c r="S462" t="s">
        <v>2923</v>
      </c>
    </row>
    <row r="463" spans="1:19" x14ac:dyDescent="0.3">
      <c r="A463" s="1">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1">
        <v>45292</v>
      </c>
      <c r="R463" s="1">
        <v>45294</v>
      </c>
      <c r="S463" t="s">
        <v>2923</v>
      </c>
    </row>
    <row r="464" spans="1:19" x14ac:dyDescent="0.3">
      <c r="A464" s="1">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1">
        <v>45659</v>
      </c>
      <c r="R464" s="1">
        <v>45669</v>
      </c>
      <c r="S464" t="s">
        <v>2926</v>
      </c>
    </row>
    <row r="465" spans="1:19" x14ac:dyDescent="0.3">
      <c r="A465" s="1">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1">
        <v>45365</v>
      </c>
      <c r="R465" s="1">
        <v>45372</v>
      </c>
      <c r="S465" t="s">
        <v>2924</v>
      </c>
    </row>
    <row r="466" spans="1:19" x14ac:dyDescent="0.3">
      <c r="A466" s="1">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1">
        <v>45416</v>
      </c>
      <c r="R466" s="1">
        <v>45421</v>
      </c>
      <c r="S466" t="s">
        <v>2926</v>
      </c>
    </row>
    <row r="467" spans="1:19" x14ac:dyDescent="0.3">
      <c r="A467" s="1">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1">
        <v>45715</v>
      </c>
      <c r="R467" s="1">
        <v>45718</v>
      </c>
      <c r="S467" t="s">
        <v>2923</v>
      </c>
    </row>
    <row r="468" spans="1:19" x14ac:dyDescent="0.3">
      <c r="A468" s="1">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1">
        <v>45609</v>
      </c>
      <c r="R468" s="1">
        <v>45613</v>
      </c>
      <c r="S468" t="s">
        <v>2925</v>
      </c>
    </row>
    <row r="469" spans="1:19" x14ac:dyDescent="0.3">
      <c r="A469" s="1">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1">
        <v>45230</v>
      </c>
      <c r="R469" s="1">
        <v>45240</v>
      </c>
      <c r="S469" t="s">
        <v>2926</v>
      </c>
    </row>
    <row r="470" spans="1:19" x14ac:dyDescent="0.3">
      <c r="A470" s="1">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1">
        <v>45279</v>
      </c>
      <c r="R470" s="1">
        <v>45284</v>
      </c>
      <c r="S470" t="s">
        <v>2925</v>
      </c>
    </row>
    <row r="471" spans="1:19" x14ac:dyDescent="0.3">
      <c r="A471" s="1">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1">
        <v>45257</v>
      </c>
      <c r="R471" s="1">
        <v>45263</v>
      </c>
      <c r="S471" t="s">
        <v>2923</v>
      </c>
    </row>
    <row r="472" spans="1:19" x14ac:dyDescent="0.3">
      <c r="A472" s="1">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1">
        <v>45153</v>
      </c>
      <c r="R472" s="1">
        <v>45156</v>
      </c>
      <c r="S472" t="s">
        <v>2922</v>
      </c>
    </row>
    <row r="473" spans="1:19" x14ac:dyDescent="0.3">
      <c r="A473" s="1">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1">
        <v>44942</v>
      </c>
      <c r="R473" s="1">
        <v>44950</v>
      </c>
      <c r="S473" t="s">
        <v>2926</v>
      </c>
    </row>
    <row r="474" spans="1:19" x14ac:dyDescent="0.3">
      <c r="A474" s="1">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1">
        <v>45716</v>
      </c>
      <c r="R474" s="1">
        <v>45724</v>
      </c>
      <c r="S474" t="s">
        <v>2925</v>
      </c>
    </row>
    <row r="475" spans="1:19" x14ac:dyDescent="0.3">
      <c r="A475" s="1">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1">
        <v>45258</v>
      </c>
      <c r="R475" s="1">
        <v>45261</v>
      </c>
      <c r="S475" t="s">
        <v>2926</v>
      </c>
    </row>
    <row r="476" spans="1:19" x14ac:dyDescent="0.3">
      <c r="A476" s="1">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1">
        <v>45264</v>
      </c>
      <c r="R476" s="1">
        <v>45273</v>
      </c>
      <c r="S476" t="s">
        <v>2926</v>
      </c>
    </row>
    <row r="477" spans="1:19" x14ac:dyDescent="0.3">
      <c r="A477" s="1">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1">
        <v>45464</v>
      </c>
      <c r="R477" s="1">
        <v>45472</v>
      </c>
      <c r="S477" t="s">
        <v>2923</v>
      </c>
    </row>
    <row r="478" spans="1:19" x14ac:dyDescent="0.3">
      <c r="A478" s="1">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1">
        <v>45733</v>
      </c>
      <c r="R478" s="1">
        <v>45742</v>
      </c>
      <c r="S478" t="s">
        <v>2922</v>
      </c>
    </row>
    <row r="479" spans="1:19" x14ac:dyDescent="0.3">
      <c r="A479" s="1">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1">
        <v>45155</v>
      </c>
      <c r="R479" s="1">
        <v>45157</v>
      </c>
      <c r="S479" t="s">
        <v>2925</v>
      </c>
    </row>
    <row r="480" spans="1:19" x14ac:dyDescent="0.3">
      <c r="A480" s="1">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1">
        <v>45168</v>
      </c>
      <c r="R480" s="1">
        <v>45174</v>
      </c>
      <c r="S480" t="s">
        <v>2925</v>
      </c>
    </row>
    <row r="481" spans="1:19" x14ac:dyDescent="0.3">
      <c r="A481" s="1">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1">
        <v>45824</v>
      </c>
      <c r="R481" s="1">
        <v>45826</v>
      </c>
      <c r="S481" t="s">
        <v>2922</v>
      </c>
    </row>
    <row r="482" spans="1:19" x14ac:dyDescent="0.3">
      <c r="A482" s="1">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1">
        <v>45106</v>
      </c>
      <c r="R482" s="1">
        <v>45116</v>
      </c>
      <c r="S482" t="s">
        <v>2924</v>
      </c>
    </row>
    <row r="483" spans="1:19" x14ac:dyDescent="0.3">
      <c r="A483" s="1">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1">
        <v>45151</v>
      </c>
      <c r="R483" s="1">
        <v>45158</v>
      </c>
      <c r="S483" t="s">
        <v>2924</v>
      </c>
    </row>
    <row r="484" spans="1:19" x14ac:dyDescent="0.3">
      <c r="A484" s="1">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1">
        <v>45411</v>
      </c>
      <c r="R484" s="1">
        <v>45419</v>
      </c>
      <c r="S484" t="s">
        <v>2926</v>
      </c>
    </row>
    <row r="485" spans="1:19" x14ac:dyDescent="0.3">
      <c r="A485" s="1">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1">
        <v>45122</v>
      </c>
      <c r="R485" s="1">
        <v>45132</v>
      </c>
      <c r="S485" t="s">
        <v>2926</v>
      </c>
    </row>
    <row r="486" spans="1:19" x14ac:dyDescent="0.3">
      <c r="A486" s="1">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1">
        <v>45674</v>
      </c>
      <c r="R486" s="1">
        <v>45680</v>
      </c>
      <c r="S486" t="s">
        <v>2924</v>
      </c>
    </row>
    <row r="487" spans="1:19" x14ac:dyDescent="0.3">
      <c r="A487" s="1">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1">
        <v>45709</v>
      </c>
      <c r="R487" s="1">
        <v>45719</v>
      </c>
      <c r="S487" t="s">
        <v>2922</v>
      </c>
    </row>
    <row r="488" spans="1:19" x14ac:dyDescent="0.3">
      <c r="A488" s="1">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1">
        <v>45126</v>
      </c>
      <c r="R488" s="1">
        <v>45133</v>
      </c>
      <c r="S488" t="s">
        <v>2926</v>
      </c>
    </row>
    <row r="489" spans="1:19" x14ac:dyDescent="0.3">
      <c r="A489" s="1">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1">
        <v>45564</v>
      </c>
      <c r="R489" s="1">
        <v>45571</v>
      </c>
      <c r="S489" t="s">
        <v>2926</v>
      </c>
    </row>
    <row r="490" spans="1:19" x14ac:dyDescent="0.3">
      <c r="A490" s="1">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1">
        <v>45582</v>
      </c>
      <c r="R490" s="1">
        <v>45586</v>
      </c>
      <c r="S490" t="s">
        <v>2922</v>
      </c>
    </row>
    <row r="491" spans="1:19" x14ac:dyDescent="0.3">
      <c r="A491" s="1">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1">
        <v>45819</v>
      </c>
      <c r="R491" s="1">
        <v>45825</v>
      </c>
      <c r="S491" t="s">
        <v>2922</v>
      </c>
    </row>
    <row r="492" spans="1:19" x14ac:dyDescent="0.3">
      <c r="A492" s="1">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1">
        <v>45310</v>
      </c>
      <c r="R492" s="1">
        <v>45320</v>
      </c>
      <c r="S492" t="s">
        <v>2926</v>
      </c>
    </row>
    <row r="493" spans="1:19" x14ac:dyDescent="0.3">
      <c r="A493" s="1">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1">
        <v>45263</v>
      </c>
      <c r="R493" s="1">
        <v>45265</v>
      </c>
      <c r="S493" t="s">
        <v>2922</v>
      </c>
    </row>
    <row r="494" spans="1:19" x14ac:dyDescent="0.3">
      <c r="A494" s="1">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1">
        <v>45462</v>
      </c>
      <c r="R494" s="1">
        <v>45470</v>
      </c>
      <c r="S494" t="s">
        <v>2925</v>
      </c>
    </row>
    <row r="495" spans="1:19" x14ac:dyDescent="0.3">
      <c r="A495" s="1">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1">
        <v>45581</v>
      </c>
      <c r="R495" s="1">
        <v>45586</v>
      </c>
      <c r="S495" t="s">
        <v>2926</v>
      </c>
    </row>
    <row r="496" spans="1:19" x14ac:dyDescent="0.3">
      <c r="A496" s="1">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1">
        <v>45680</v>
      </c>
      <c r="R496" s="1">
        <v>45684</v>
      </c>
      <c r="S496" t="s">
        <v>2922</v>
      </c>
    </row>
    <row r="497" spans="1:19" x14ac:dyDescent="0.3">
      <c r="A497" s="1">
        <v>45201</v>
      </c>
      <c r="B497" t="s">
        <v>22</v>
      </c>
      <c r="C497" t="s">
        <v>24</v>
      </c>
      <c r="D497">
        <v>9</v>
      </c>
      <c r="E497">
        <v>146.72</v>
      </c>
      <c r="F497" t="s">
        <v>32</v>
      </c>
      <c r="G497" t="s">
        <v>35</v>
      </c>
      <c r="H497">
        <v>0.1</v>
      </c>
      <c r="I497" t="s">
        <v>41</v>
      </c>
      <c r="J497">
        <v>1188.432</v>
      </c>
      <c r="K497" t="s">
        <v>45</v>
      </c>
      <c r="M497">
        <v>0</v>
      </c>
      <c r="N497" t="s">
        <v>546</v>
      </c>
      <c r="O497" t="s">
        <v>2030</v>
      </c>
      <c r="P497">
        <v>10.45</v>
      </c>
      <c r="Q497" s="1">
        <v>45201</v>
      </c>
      <c r="R497" s="1">
        <v>45209</v>
      </c>
      <c r="S497" t="s">
        <v>2925</v>
      </c>
    </row>
    <row r="498" spans="1:19" x14ac:dyDescent="0.3">
      <c r="A498" s="1">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1">
        <v>45235</v>
      </c>
      <c r="R498" s="1">
        <v>45237</v>
      </c>
      <c r="S498" t="s">
        <v>2922</v>
      </c>
    </row>
    <row r="499" spans="1:19" x14ac:dyDescent="0.3">
      <c r="A499" s="1">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1">
        <v>45095</v>
      </c>
      <c r="R499" s="1">
        <v>45100</v>
      </c>
      <c r="S499" t="s">
        <v>2923</v>
      </c>
    </row>
    <row r="500" spans="1:19" x14ac:dyDescent="0.3">
      <c r="A500" s="1">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1">
        <v>45488</v>
      </c>
      <c r="R500" s="1">
        <v>45494</v>
      </c>
      <c r="S500" t="s">
        <v>2925</v>
      </c>
    </row>
    <row r="501" spans="1:19" x14ac:dyDescent="0.3">
      <c r="A501" s="1">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1">
        <v>45457</v>
      </c>
      <c r="R501" s="1">
        <v>45466</v>
      </c>
      <c r="S501" t="s">
        <v>2925</v>
      </c>
    </row>
    <row r="502" spans="1:19" x14ac:dyDescent="0.3">
      <c r="A502" s="1">
        <v>45387</v>
      </c>
      <c r="B502" t="s">
        <v>19</v>
      </c>
      <c r="C502" t="s">
        <v>28</v>
      </c>
      <c r="D502">
        <v>15</v>
      </c>
      <c r="E502">
        <v>405.95</v>
      </c>
      <c r="F502" t="s">
        <v>34</v>
      </c>
      <c r="G502" t="s">
        <v>35</v>
      </c>
      <c r="H502">
        <v>0.15</v>
      </c>
      <c r="I502" t="s">
        <v>37</v>
      </c>
      <c r="J502">
        <v>5175.8625000000002</v>
      </c>
      <c r="K502" t="s">
        <v>44</v>
      </c>
      <c r="M502">
        <v>0</v>
      </c>
      <c r="N502" t="s">
        <v>551</v>
      </c>
      <c r="O502" t="s">
        <v>2034</v>
      </c>
      <c r="P502">
        <v>32.04</v>
      </c>
      <c r="Q502" s="1">
        <v>45387</v>
      </c>
      <c r="R502" s="1">
        <v>45392</v>
      </c>
      <c r="S502" t="s">
        <v>2922</v>
      </c>
    </row>
    <row r="503" spans="1:19" x14ac:dyDescent="0.3">
      <c r="A503" s="1">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1">
        <v>44984</v>
      </c>
      <c r="R503" s="1">
        <v>44992</v>
      </c>
      <c r="S503" t="s">
        <v>2924</v>
      </c>
    </row>
    <row r="504" spans="1:19" x14ac:dyDescent="0.3">
      <c r="A504" s="1">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1">
        <v>45138</v>
      </c>
      <c r="R504" s="1">
        <v>45147</v>
      </c>
      <c r="S504" t="s">
        <v>2926</v>
      </c>
    </row>
    <row r="505" spans="1:19" x14ac:dyDescent="0.3">
      <c r="A505" s="1">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1">
        <v>44988</v>
      </c>
      <c r="R505" s="1">
        <v>44995</v>
      </c>
      <c r="S505" t="s">
        <v>2926</v>
      </c>
    </row>
    <row r="506" spans="1:19" x14ac:dyDescent="0.3">
      <c r="A506" s="1">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1">
        <v>45042</v>
      </c>
      <c r="R506" s="1">
        <v>45044</v>
      </c>
      <c r="S506" t="s">
        <v>2923</v>
      </c>
    </row>
    <row r="507" spans="1:19" x14ac:dyDescent="0.3">
      <c r="A507" s="1">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1">
        <v>45584</v>
      </c>
      <c r="R507" s="1">
        <v>45592</v>
      </c>
      <c r="S507" t="s">
        <v>2922</v>
      </c>
    </row>
    <row r="508" spans="1:19" x14ac:dyDescent="0.3">
      <c r="A508" s="1">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1">
        <v>45473</v>
      </c>
      <c r="R508" s="1">
        <v>45477</v>
      </c>
      <c r="S508" t="s">
        <v>2925</v>
      </c>
    </row>
    <row r="509" spans="1:19" x14ac:dyDescent="0.3">
      <c r="A509" s="1">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1">
        <v>45576</v>
      </c>
      <c r="R509" s="1">
        <v>45584</v>
      </c>
      <c r="S509" t="s">
        <v>2926</v>
      </c>
    </row>
    <row r="510" spans="1:19" x14ac:dyDescent="0.3">
      <c r="A510" s="1">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1">
        <v>45822</v>
      </c>
      <c r="R510" s="1">
        <v>45831</v>
      </c>
      <c r="S510" t="s">
        <v>2925</v>
      </c>
    </row>
    <row r="511" spans="1:19" x14ac:dyDescent="0.3">
      <c r="A511" s="1">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1">
        <v>45648</v>
      </c>
      <c r="R511" s="1">
        <v>45656</v>
      </c>
      <c r="S511" t="s">
        <v>2922</v>
      </c>
    </row>
    <row r="512" spans="1:19" x14ac:dyDescent="0.3">
      <c r="A512" s="1">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1">
        <v>45404</v>
      </c>
      <c r="R512" s="1">
        <v>45407</v>
      </c>
      <c r="S512" t="s">
        <v>2926</v>
      </c>
    </row>
    <row r="513" spans="1:19" x14ac:dyDescent="0.3">
      <c r="A513" s="1">
        <v>45682</v>
      </c>
      <c r="B513" t="s">
        <v>21</v>
      </c>
      <c r="C513" t="s">
        <v>27</v>
      </c>
      <c r="D513">
        <v>3</v>
      </c>
      <c r="E513">
        <v>365.54</v>
      </c>
      <c r="F513" t="s">
        <v>31</v>
      </c>
      <c r="G513" t="s">
        <v>36</v>
      </c>
      <c r="H513">
        <v>0.15</v>
      </c>
      <c r="I513" t="s">
        <v>39</v>
      </c>
      <c r="J513">
        <v>932.12700000000007</v>
      </c>
      <c r="K513" t="s">
        <v>43</v>
      </c>
      <c r="M513">
        <v>0</v>
      </c>
      <c r="N513" t="s">
        <v>562</v>
      </c>
      <c r="O513" t="s">
        <v>2044</v>
      </c>
      <c r="P513">
        <v>45.89</v>
      </c>
      <c r="Q513" s="1">
        <v>45682</v>
      </c>
      <c r="R513" s="1">
        <v>45686</v>
      </c>
      <c r="S513" t="s">
        <v>2924</v>
      </c>
    </row>
    <row r="514" spans="1:19" x14ac:dyDescent="0.3">
      <c r="A514" s="1">
        <v>45609</v>
      </c>
      <c r="B514" t="s">
        <v>21</v>
      </c>
      <c r="C514" t="s">
        <v>24</v>
      </c>
      <c r="D514">
        <v>5</v>
      </c>
      <c r="E514">
        <v>270.13</v>
      </c>
      <c r="F514" t="s">
        <v>33</v>
      </c>
      <c r="G514" t="s">
        <v>36</v>
      </c>
      <c r="H514">
        <v>0.15</v>
      </c>
      <c r="I514" t="s">
        <v>37</v>
      </c>
      <c r="J514">
        <v>1148.0525</v>
      </c>
      <c r="K514" t="s">
        <v>45</v>
      </c>
      <c r="M514">
        <v>0</v>
      </c>
      <c r="N514" t="s">
        <v>563</v>
      </c>
      <c r="O514" t="s">
        <v>2045</v>
      </c>
      <c r="P514">
        <v>15.74</v>
      </c>
      <c r="Q514" s="1">
        <v>45609</v>
      </c>
      <c r="R514" s="1">
        <v>45615</v>
      </c>
      <c r="S514" t="s">
        <v>2924</v>
      </c>
    </row>
    <row r="515" spans="1:19" x14ac:dyDescent="0.3">
      <c r="A515" s="1">
        <v>45001</v>
      </c>
      <c r="B515" t="s">
        <v>19</v>
      </c>
      <c r="C515" t="s">
        <v>29</v>
      </c>
      <c r="D515">
        <v>2</v>
      </c>
      <c r="E515">
        <v>480.15</v>
      </c>
      <c r="F515" t="s">
        <v>34</v>
      </c>
      <c r="G515" t="s">
        <v>36</v>
      </c>
      <c r="H515">
        <v>0.15</v>
      </c>
      <c r="I515" t="s">
        <v>41</v>
      </c>
      <c r="J515">
        <v>816.255</v>
      </c>
      <c r="K515" t="s">
        <v>43</v>
      </c>
      <c r="M515">
        <v>0</v>
      </c>
      <c r="N515" t="s">
        <v>564</v>
      </c>
      <c r="O515" t="s">
        <v>2046</v>
      </c>
      <c r="P515">
        <v>42.07</v>
      </c>
      <c r="Q515" s="1">
        <v>45001</v>
      </c>
      <c r="R515" s="1">
        <v>45006</v>
      </c>
      <c r="S515" t="s">
        <v>2922</v>
      </c>
    </row>
    <row r="516" spans="1:19" x14ac:dyDescent="0.3">
      <c r="A516" s="1">
        <v>45052</v>
      </c>
      <c r="B516" t="s">
        <v>21</v>
      </c>
      <c r="C516" t="s">
        <v>24</v>
      </c>
      <c r="D516">
        <v>18</v>
      </c>
      <c r="E516">
        <v>414.77</v>
      </c>
      <c r="F516" t="s">
        <v>33</v>
      </c>
      <c r="G516" t="s">
        <v>35</v>
      </c>
      <c r="H516">
        <v>0.1</v>
      </c>
      <c r="I516" t="s">
        <v>37</v>
      </c>
      <c r="J516">
        <v>6719.2739999999994</v>
      </c>
      <c r="K516" t="s">
        <v>45</v>
      </c>
      <c r="M516">
        <v>1</v>
      </c>
      <c r="N516" t="s">
        <v>565</v>
      </c>
      <c r="O516" t="s">
        <v>2047</v>
      </c>
      <c r="P516">
        <v>28.55</v>
      </c>
      <c r="Q516" s="1">
        <v>45052</v>
      </c>
      <c r="R516" s="1">
        <v>45061</v>
      </c>
      <c r="S516" t="s">
        <v>2924</v>
      </c>
    </row>
    <row r="517" spans="1:19" x14ac:dyDescent="0.3">
      <c r="A517" s="1">
        <v>45611</v>
      </c>
      <c r="B517" t="s">
        <v>19</v>
      </c>
      <c r="C517" t="s">
        <v>28</v>
      </c>
      <c r="D517">
        <v>10</v>
      </c>
      <c r="E517">
        <v>98.24</v>
      </c>
      <c r="F517" t="s">
        <v>33</v>
      </c>
      <c r="G517" t="s">
        <v>35</v>
      </c>
      <c r="H517">
        <v>0</v>
      </c>
      <c r="I517" t="s">
        <v>39</v>
      </c>
      <c r="J517">
        <v>982.4</v>
      </c>
      <c r="K517" t="s">
        <v>45</v>
      </c>
      <c r="L517" t="s">
        <v>48</v>
      </c>
      <c r="M517">
        <v>1</v>
      </c>
      <c r="N517" t="s">
        <v>566</v>
      </c>
      <c r="O517" t="s">
        <v>1835</v>
      </c>
      <c r="P517">
        <v>21.01</v>
      </c>
      <c r="Q517" s="1">
        <v>45611</v>
      </c>
      <c r="R517" s="1">
        <v>45613</v>
      </c>
      <c r="S517" t="s">
        <v>2922</v>
      </c>
    </row>
    <row r="518" spans="1:19" x14ac:dyDescent="0.3">
      <c r="A518" s="1">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1">
        <v>45471</v>
      </c>
      <c r="R518" s="1">
        <v>45478</v>
      </c>
      <c r="S518" t="s">
        <v>2925</v>
      </c>
    </row>
    <row r="519" spans="1:19" x14ac:dyDescent="0.3">
      <c r="A519" s="1">
        <v>45788</v>
      </c>
      <c r="B519" t="s">
        <v>22</v>
      </c>
      <c r="C519" t="s">
        <v>28</v>
      </c>
      <c r="D519">
        <v>5</v>
      </c>
      <c r="E519">
        <v>136.13</v>
      </c>
      <c r="F519" t="s">
        <v>33</v>
      </c>
      <c r="G519" t="s">
        <v>36</v>
      </c>
      <c r="H519">
        <v>0.15</v>
      </c>
      <c r="I519" t="s">
        <v>40</v>
      </c>
      <c r="J519">
        <v>578.55250000000001</v>
      </c>
      <c r="K519" t="s">
        <v>43</v>
      </c>
      <c r="M519">
        <v>0</v>
      </c>
      <c r="N519" t="s">
        <v>568</v>
      </c>
      <c r="O519" t="s">
        <v>2049</v>
      </c>
      <c r="P519">
        <v>10.02</v>
      </c>
      <c r="Q519" s="1">
        <v>45788</v>
      </c>
      <c r="R519" s="1">
        <v>45797</v>
      </c>
      <c r="S519" t="s">
        <v>2925</v>
      </c>
    </row>
    <row r="520" spans="1:19" x14ac:dyDescent="0.3">
      <c r="A520" s="1">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1">
        <v>44983</v>
      </c>
      <c r="R520" s="1">
        <v>44989</v>
      </c>
      <c r="S520" t="s">
        <v>2925</v>
      </c>
    </row>
    <row r="521" spans="1:19" x14ac:dyDescent="0.3">
      <c r="A521" s="1">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1">
        <v>45412</v>
      </c>
      <c r="R521" s="1">
        <v>45419</v>
      </c>
      <c r="S521" t="s">
        <v>2923</v>
      </c>
    </row>
    <row r="522" spans="1:19" x14ac:dyDescent="0.3">
      <c r="A522" s="1">
        <v>45727</v>
      </c>
      <c r="B522" t="s">
        <v>19</v>
      </c>
      <c r="C522" t="s">
        <v>24</v>
      </c>
      <c r="D522">
        <v>6</v>
      </c>
      <c r="E522">
        <v>138.26</v>
      </c>
      <c r="F522" t="s">
        <v>31</v>
      </c>
      <c r="G522" t="s">
        <v>36</v>
      </c>
      <c r="H522">
        <v>0.15</v>
      </c>
      <c r="I522" t="s">
        <v>37</v>
      </c>
      <c r="J522">
        <v>705.12599999999998</v>
      </c>
      <c r="K522" t="s">
        <v>43</v>
      </c>
      <c r="M522">
        <v>1</v>
      </c>
      <c r="N522" t="s">
        <v>571</v>
      </c>
      <c r="O522" t="s">
        <v>2052</v>
      </c>
      <c r="P522">
        <v>31.4</v>
      </c>
      <c r="Q522" s="1">
        <v>45727</v>
      </c>
      <c r="R522" s="1">
        <v>45729</v>
      </c>
      <c r="S522" t="s">
        <v>2922</v>
      </c>
    </row>
    <row r="523" spans="1:19" x14ac:dyDescent="0.3">
      <c r="A523" s="1">
        <v>45838</v>
      </c>
      <c r="B523" t="s">
        <v>19</v>
      </c>
      <c r="C523" t="s">
        <v>25</v>
      </c>
      <c r="D523">
        <v>12</v>
      </c>
      <c r="E523">
        <v>487.57</v>
      </c>
      <c r="F523" t="s">
        <v>32</v>
      </c>
      <c r="G523" t="s">
        <v>35</v>
      </c>
      <c r="H523">
        <v>0.05</v>
      </c>
      <c r="I523" t="s">
        <v>37</v>
      </c>
      <c r="J523">
        <v>5558.2979999999998</v>
      </c>
      <c r="K523" t="s">
        <v>47</v>
      </c>
      <c r="M523">
        <v>0</v>
      </c>
      <c r="N523" t="s">
        <v>572</v>
      </c>
      <c r="O523" t="s">
        <v>2053</v>
      </c>
      <c r="P523">
        <v>37.33</v>
      </c>
      <c r="Q523" s="1">
        <v>45838</v>
      </c>
      <c r="R523" s="1">
        <v>45848</v>
      </c>
      <c r="S523" t="s">
        <v>2922</v>
      </c>
    </row>
    <row r="524" spans="1:19" x14ac:dyDescent="0.3">
      <c r="A524" s="1">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1">
        <v>45445</v>
      </c>
      <c r="R524" s="1">
        <v>45451</v>
      </c>
      <c r="S524" t="s">
        <v>2924</v>
      </c>
    </row>
    <row r="525" spans="1:19" x14ac:dyDescent="0.3">
      <c r="A525" s="1">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1">
        <v>45536</v>
      </c>
      <c r="R525" s="1">
        <v>45540</v>
      </c>
      <c r="S525" t="s">
        <v>2923</v>
      </c>
    </row>
    <row r="526" spans="1:19" x14ac:dyDescent="0.3">
      <c r="A526" s="1">
        <v>45668</v>
      </c>
      <c r="B526" t="s">
        <v>20</v>
      </c>
      <c r="C526" t="s">
        <v>24</v>
      </c>
      <c r="D526">
        <v>6</v>
      </c>
      <c r="E526">
        <v>429.45</v>
      </c>
      <c r="F526" t="s">
        <v>31</v>
      </c>
      <c r="G526" t="s">
        <v>36</v>
      </c>
      <c r="H526">
        <v>0.1</v>
      </c>
      <c r="I526" t="s">
        <v>38</v>
      </c>
      <c r="J526">
        <v>2319.0300000000002</v>
      </c>
      <c r="K526" t="s">
        <v>47</v>
      </c>
      <c r="M526">
        <v>0</v>
      </c>
      <c r="N526" t="s">
        <v>575</v>
      </c>
      <c r="O526" t="s">
        <v>2056</v>
      </c>
      <c r="P526">
        <v>47.18</v>
      </c>
      <c r="Q526" s="1">
        <v>45668</v>
      </c>
      <c r="R526" s="1">
        <v>45675</v>
      </c>
      <c r="S526" t="s">
        <v>2923</v>
      </c>
    </row>
    <row r="527" spans="1:19" x14ac:dyDescent="0.3">
      <c r="A527" s="1">
        <v>45747</v>
      </c>
      <c r="B527" t="s">
        <v>20</v>
      </c>
      <c r="C527" t="s">
        <v>25</v>
      </c>
      <c r="D527">
        <v>1</v>
      </c>
      <c r="E527">
        <v>476</v>
      </c>
      <c r="F527" t="s">
        <v>32</v>
      </c>
      <c r="G527" t="s">
        <v>35</v>
      </c>
      <c r="H527">
        <v>0.15</v>
      </c>
      <c r="I527" t="s">
        <v>40</v>
      </c>
      <c r="J527">
        <v>404.6</v>
      </c>
      <c r="K527" t="s">
        <v>47</v>
      </c>
      <c r="L527" t="s">
        <v>48</v>
      </c>
      <c r="M527">
        <v>0</v>
      </c>
      <c r="N527" t="s">
        <v>576</v>
      </c>
      <c r="O527" t="s">
        <v>2057</v>
      </c>
      <c r="P527">
        <v>18.95</v>
      </c>
      <c r="Q527" s="1">
        <v>45747</v>
      </c>
      <c r="R527" s="1">
        <v>45750</v>
      </c>
      <c r="S527" t="s">
        <v>2923</v>
      </c>
    </row>
    <row r="528" spans="1:19" x14ac:dyDescent="0.3">
      <c r="A528" s="1">
        <v>45624</v>
      </c>
      <c r="B528" t="s">
        <v>20</v>
      </c>
      <c r="C528" t="s">
        <v>25</v>
      </c>
      <c r="D528">
        <v>13</v>
      </c>
      <c r="E528">
        <v>141.26</v>
      </c>
      <c r="F528" t="s">
        <v>31</v>
      </c>
      <c r="G528" t="s">
        <v>36</v>
      </c>
      <c r="H528">
        <v>0</v>
      </c>
      <c r="I528" t="s">
        <v>39</v>
      </c>
      <c r="J528">
        <v>1836.38</v>
      </c>
      <c r="K528" t="s">
        <v>43</v>
      </c>
      <c r="M528">
        <v>0</v>
      </c>
      <c r="N528" t="s">
        <v>577</v>
      </c>
      <c r="O528" t="s">
        <v>1871</v>
      </c>
      <c r="P528">
        <v>23.68</v>
      </c>
      <c r="Q528" s="1">
        <v>45624</v>
      </c>
      <c r="R528" s="1">
        <v>45631</v>
      </c>
      <c r="S528" t="s">
        <v>2923</v>
      </c>
    </row>
    <row r="529" spans="1:19" x14ac:dyDescent="0.3">
      <c r="A529" s="1">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1">
        <v>45112</v>
      </c>
      <c r="R529" s="1">
        <v>45114</v>
      </c>
      <c r="S529" t="s">
        <v>2924</v>
      </c>
    </row>
    <row r="530" spans="1:19" x14ac:dyDescent="0.3">
      <c r="A530" s="1">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1">
        <v>45589</v>
      </c>
      <c r="R530" s="1">
        <v>45599</v>
      </c>
      <c r="S530" t="s">
        <v>2926</v>
      </c>
    </row>
    <row r="531" spans="1:19" x14ac:dyDescent="0.3">
      <c r="A531" s="1">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1">
        <v>45755</v>
      </c>
      <c r="R531" s="1">
        <v>45763</v>
      </c>
      <c r="S531" t="s">
        <v>2924</v>
      </c>
    </row>
    <row r="532" spans="1:19" x14ac:dyDescent="0.3">
      <c r="A532" s="1">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1">
        <v>45448</v>
      </c>
      <c r="R532" s="1">
        <v>45453</v>
      </c>
      <c r="S532" t="s">
        <v>2922</v>
      </c>
    </row>
    <row r="533" spans="1:19" x14ac:dyDescent="0.3">
      <c r="A533" s="1">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1">
        <v>45680</v>
      </c>
      <c r="R533" s="1">
        <v>45686</v>
      </c>
      <c r="S533" t="s">
        <v>2926</v>
      </c>
    </row>
    <row r="534" spans="1:19" x14ac:dyDescent="0.3">
      <c r="A534" s="1">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1">
        <v>45600</v>
      </c>
      <c r="R534" s="1">
        <v>45608</v>
      </c>
      <c r="S534" t="s">
        <v>2925</v>
      </c>
    </row>
    <row r="535" spans="1:19" x14ac:dyDescent="0.3">
      <c r="A535" s="1">
        <v>45292</v>
      </c>
      <c r="B535" t="s">
        <v>23</v>
      </c>
      <c r="C535" t="s">
        <v>30</v>
      </c>
      <c r="D535">
        <v>13</v>
      </c>
      <c r="E535">
        <v>204.67</v>
      </c>
      <c r="F535" t="s">
        <v>32</v>
      </c>
      <c r="G535" t="s">
        <v>36</v>
      </c>
      <c r="H535">
        <v>0.15</v>
      </c>
      <c r="I535" t="s">
        <v>38</v>
      </c>
      <c r="J535">
        <v>2261.6035000000002</v>
      </c>
      <c r="K535" t="s">
        <v>43</v>
      </c>
      <c r="M535">
        <v>0</v>
      </c>
      <c r="N535" t="s">
        <v>584</v>
      </c>
      <c r="O535" t="s">
        <v>2063</v>
      </c>
      <c r="P535">
        <v>6.76</v>
      </c>
      <c r="Q535" s="1">
        <v>45292</v>
      </c>
      <c r="R535" s="1">
        <v>45296</v>
      </c>
      <c r="S535" t="s">
        <v>2926</v>
      </c>
    </row>
    <row r="536" spans="1:19" x14ac:dyDescent="0.3">
      <c r="A536" s="1">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1">
        <v>45391</v>
      </c>
      <c r="R536" s="1">
        <v>45399</v>
      </c>
      <c r="S536" t="s">
        <v>2925</v>
      </c>
    </row>
    <row r="537" spans="1:19" x14ac:dyDescent="0.3">
      <c r="A537" s="1">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1">
        <v>45674</v>
      </c>
      <c r="R537" s="1">
        <v>45682</v>
      </c>
      <c r="S537" t="s">
        <v>2924</v>
      </c>
    </row>
    <row r="538" spans="1:19" x14ac:dyDescent="0.3">
      <c r="A538" s="1">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1">
        <v>45557</v>
      </c>
      <c r="R538" s="1">
        <v>45564</v>
      </c>
      <c r="S538" t="s">
        <v>2922</v>
      </c>
    </row>
    <row r="539" spans="1:19" x14ac:dyDescent="0.3">
      <c r="A539" s="1">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1">
        <v>44946</v>
      </c>
      <c r="R539" s="1">
        <v>44951</v>
      </c>
      <c r="S539" t="s">
        <v>2922</v>
      </c>
    </row>
    <row r="540" spans="1:19" x14ac:dyDescent="0.3">
      <c r="A540" s="1">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1">
        <v>45303</v>
      </c>
      <c r="R540" s="1">
        <v>45313</v>
      </c>
      <c r="S540" t="s">
        <v>2924</v>
      </c>
    </row>
    <row r="541" spans="1:19" x14ac:dyDescent="0.3">
      <c r="A541" s="1">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1">
        <v>45390</v>
      </c>
      <c r="R541" s="1">
        <v>45397</v>
      </c>
      <c r="S541" t="s">
        <v>2925</v>
      </c>
    </row>
    <row r="542" spans="1:19" x14ac:dyDescent="0.3">
      <c r="A542" s="1">
        <v>45043</v>
      </c>
      <c r="B542" t="s">
        <v>22</v>
      </c>
      <c r="C542" t="s">
        <v>24</v>
      </c>
      <c r="D542">
        <v>9</v>
      </c>
      <c r="E542">
        <v>554.48</v>
      </c>
      <c r="F542" t="s">
        <v>33</v>
      </c>
      <c r="G542" t="s">
        <v>35</v>
      </c>
      <c r="H542">
        <v>0</v>
      </c>
      <c r="I542" t="s">
        <v>40</v>
      </c>
      <c r="J542">
        <v>4990.32</v>
      </c>
      <c r="K542" t="s">
        <v>43</v>
      </c>
      <c r="M542">
        <v>0</v>
      </c>
      <c r="N542" t="s">
        <v>591</v>
      </c>
      <c r="O542" t="s">
        <v>2070</v>
      </c>
      <c r="P542">
        <v>48.26</v>
      </c>
      <c r="Q542" s="1">
        <v>45043</v>
      </c>
      <c r="R542" s="1">
        <v>45047</v>
      </c>
      <c r="S542" t="s">
        <v>2925</v>
      </c>
    </row>
    <row r="543" spans="1:19" x14ac:dyDescent="0.3">
      <c r="A543" s="1">
        <v>45490</v>
      </c>
      <c r="B543" t="s">
        <v>21</v>
      </c>
      <c r="C543" t="s">
        <v>25</v>
      </c>
      <c r="D543">
        <v>4</v>
      </c>
      <c r="E543">
        <v>375.96</v>
      </c>
      <c r="F543" t="s">
        <v>33</v>
      </c>
      <c r="G543" t="s">
        <v>36</v>
      </c>
      <c r="H543">
        <v>0.15</v>
      </c>
      <c r="I543" t="s">
        <v>40</v>
      </c>
      <c r="J543">
        <v>1278.2639999999999</v>
      </c>
      <c r="K543" t="s">
        <v>46</v>
      </c>
      <c r="M543">
        <v>0</v>
      </c>
      <c r="N543" t="s">
        <v>592</v>
      </c>
      <c r="O543" t="s">
        <v>2071</v>
      </c>
      <c r="P543">
        <v>44.99</v>
      </c>
      <c r="Q543" s="1">
        <v>45490</v>
      </c>
      <c r="R543" s="1">
        <v>45498</v>
      </c>
      <c r="S543" t="s">
        <v>2924</v>
      </c>
    </row>
    <row r="544" spans="1:19" x14ac:dyDescent="0.3">
      <c r="A544" s="1">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1">
        <v>45339</v>
      </c>
      <c r="R544" s="1">
        <v>45345</v>
      </c>
      <c r="S544" t="s">
        <v>2925</v>
      </c>
    </row>
    <row r="545" spans="1:19" x14ac:dyDescent="0.3">
      <c r="A545" s="1">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1">
        <v>45316</v>
      </c>
      <c r="R545" s="1">
        <v>45324</v>
      </c>
      <c r="S545" t="s">
        <v>2923</v>
      </c>
    </row>
    <row r="546" spans="1:19" x14ac:dyDescent="0.3">
      <c r="A546" s="1">
        <v>45375</v>
      </c>
      <c r="B546" t="s">
        <v>22</v>
      </c>
      <c r="C546" t="s">
        <v>24</v>
      </c>
      <c r="D546">
        <v>7</v>
      </c>
      <c r="E546">
        <v>140.53</v>
      </c>
      <c r="F546" t="s">
        <v>34</v>
      </c>
      <c r="G546" t="s">
        <v>36</v>
      </c>
      <c r="H546">
        <v>0</v>
      </c>
      <c r="I546" t="s">
        <v>39</v>
      </c>
      <c r="J546">
        <v>983.71</v>
      </c>
      <c r="K546" t="s">
        <v>46</v>
      </c>
      <c r="M546">
        <v>1</v>
      </c>
      <c r="N546" t="s">
        <v>595</v>
      </c>
      <c r="O546" t="s">
        <v>2074</v>
      </c>
      <c r="P546">
        <v>24.53</v>
      </c>
      <c r="Q546" s="1">
        <v>45375</v>
      </c>
      <c r="R546" s="1">
        <v>45384</v>
      </c>
      <c r="S546" t="s">
        <v>2925</v>
      </c>
    </row>
    <row r="547" spans="1:19" x14ac:dyDescent="0.3">
      <c r="A547" s="1">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1">
        <v>45102</v>
      </c>
      <c r="R547" s="1">
        <v>45104</v>
      </c>
      <c r="S547" t="s">
        <v>2924</v>
      </c>
    </row>
    <row r="548" spans="1:19" x14ac:dyDescent="0.3">
      <c r="A548" s="1">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1">
        <v>45033</v>
      </c>
      <c r="R548" s="1">
        <v>45036</v>
      </c>
      <c r="S548" t="s">
        <v>2923</v>
      </c>
    </row>
    <row r="549" spans="1:19" x14ac:dyDescent="0.3">
      <c r="A549" s="1">
        <v>45105</v>
      </c>
      <c r="B549" t="s">
        <v>19</v>
      </c>
      <c r="C549" t="s">
        <v>27</v>
      </c>
      <c r="D549">
        <v>14</v>
      </c>
      <c r="E549">
        <v>293.31</v>
      </c>
      <c r="F549" t="s">
        <v>34</v>
      </c>
      <c r="G549" t="s">
        <v>35</v>
      </c>
      <c r="H549">
        <v>0</v>
      </c>
      <c r="I549" t="s">
        <v>38</v>
      </c>
      <c r="J549">
        <v>4106.34</v>
      </c>
      <c r="K549" t="s">
        <v>44</v>
      </c>
      <c r="M549">
        <v>0</v>
      </c>
      <c r="N549" t="s">
        <v>598</v>
      </c>
      <c r="O549" t="s">
        <v>2077</v>
      </c>
      <c r="P549">
        <v>21.61</v>
      </c>
      <c r="Q549" s="1">
        <v>45105</v>
      </c>
      <c r="R549" s="1">
        <v>45107</v>
      </c>
      <c r="S549" t="s">
        <v>2922</v>
      </c>
    </row>
    <row r="550" spans="1:19" x14ac:dyDescent="0.3">
      <c r="A550" s="1">
        <v>45388</v>
      </c>
      <c r="B550" t="s">
        <v>22</v>
      </c>
      <c r="C550" t="s">
        <v>27</v>
      </c>
      <c r="D550">
        <v>10</v>
      </c>
      <c r="E550">
        <v>397.39</v>
      </c>
      <c r="F550" t="s">
        <v>34</v>
      </c>
      <c r="G550" t="s">
        <v>36</v>
      </c>
      <c r="H550">
        <v>0.15</v>
      </c>
      <c r="I550" t="s">
        <v>38</v>
      </c>
      <c r="J550">
        <v>3377.8150000000001</v>
      </c>
      <c r="K550" t="s">
        <v>44</v>
      </c>
      <c r="M550">
        <v>0</v>
      </c>
      <c r="N550" t="s">
        <v>599</v>
      </c>
      <c r="O550" t="s">
        <v>2078</v>
      </c>
      <c r="P550">
        <v>25.27</v>
      </c>
      <c r="Q550" s="1">
        <v>45388</v>
      </c>
      <c r="R550" s="1">
        <v>45398</v>
      </c>
      <c r="S550" t="s">
        <v>2925</v>
      </c>
    </row>
    <row r="551" spans="1:19" x14ac:dyDescent="0.3">
      <c r="A551" s="1">
        <v>45705</v>
      </c>
      <c r="B551" t="s">
        <v>20</v>
      </c>
      <c r="C551" t="s">
        <v>27</v>
      </c>
      <c r="D551">
        <v>2</v>
      </c>
      <c r="E551">
        <v>98.35</v>
      </c>
      <c r="F551" t="s">
        <v>33</v>
      </c>
      <c r="G551" t="s">
        <v>36</v>
      </c>
      <c r="H551">
        <v>0</v>
      </c>
      <c r="I551" t="s">
        <v>37</v>
      </c>
      <c r="J551">
        <v>196.7</v>
      </c>
      <c r="K551" t="s">
        <v>46</v>
      </c>
      <c r="L551" t="s">
        <v>48</v>
      </c>
      <c r="M551">
        <v>0</v>
      </c>
      <c r="N551" t="s">
        <v>600</v>
      </c>
      <c r="O551" t="s">
        <v>2079</v>
      </c>
      <c r="P551">
        <v>28.65</v>
      </c>
      <c r="Q551" s="1">
        <v>45705</v>
      </c>
      <c r="R551" s="1">
        <v>45707</v>
      </c>
      <c r="S551" t="s">
        <v>2923</v>
      </c>
    </row>
    <row r="552" spans="1:19" x14ac:dyDescent="0.3">
      <c r="A552" s="1">
        <v>44934</v>
      </c>
      <c r="B552" t="s">
        <v>20</v>
      </c>
      <c r="C552" t="s">
        <v>26</v>
      </c>
      <c r="D552">
        <v>6</v>
      </c>
      <c r="E552">
        <v>581.66999999999996</v>
      </c>
      <c r="F552" t="s">
        <v>32</v>
      </c>
      <c r="G552" t="s">
        <v>35</v>
      </c>
      <c r="H552">
        <v>0</v>
      </c>
      <c r="I552" t="s">
        <v>39</v>
      </c>
      <c r="J552">
        <v>3490.02</v>
      </c>
      <c r="K552" t="s">
        <v>46</v>
      </c>
      <c r="M552">
        <v>0</v>
      </c>
      <c r="N552" t="s">
        <v>601</v>
      </c>
      <c r="O552" t="s">
        <v>2080</v>
      </c>
      <c r="P552">
        <v>39.4</v>
      </c>
      <c r="Q552" s="1">
        <v>44934</v>
      </c>
      <c r="R552" s="1">
        <v>44937</v>
      </c>
      <c r="S552" t="s">
        <v>2923</v>
      </c>
    </row>
    <row r="553" spans="1:19" x14ac:dyDescent="0.3">
      <c r="A553" s="1">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1">
        <v>45281</v>
      </c>
      <c r="R553" s="1">
        <v>45291</v>
      </c>
      <c r="S553" t="s">
        <v>2923</v>
      </c>
    </row>
    <row r="554" spans="1:19" x14ac:dyDescent="0.3">
      <c r="A554" s="1">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1">
        <v>45486</v>
      </c>
      <c r="R554" s="1">
        <v>45488</v>
      </c>
      <c r="S554" t="s">
        <v>2924</v>
      </c>
    </row>
    <row r="555" spans="1:19" x14ac:dyDescent="0.3">
      <c r="A555" s="1">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1">
        <v>45374</v>
      </c>
      <c r="R555" s="1">
        <v>45383</v>
      </c>
      <c r="S555" t="s">
        <v>2926</v>
      </c>
    </row>
    <row r="556" spans="1:19" x14ac:dyDescent="0.3">
      <c r="A556" s="1">
        <v>45370</v>
      </c>
      <c r="B556" t="s">
        <v>23</v>
      </c>
      <c r="C556" t="s">
        <v>27</v>
      </c>
      <c r="D556">
        <v>7</v>
      </c>
      <c r="E556">
        <v>15.65</v>
      </c>
      <c r="F556" t="s">
        <v>34</v>
      </c>
      <c r="G556" t="s">
        <v>35</v>
      </c>
      <c r="H556">
        <v>0</v>
      </c>
      <c r="I556" t="s">
        <v>40</v>
      </c>
      <c r="J556">
        <v>109.55</v>
      </c>
      <c r="K556" t="s">
        <v>46</v>
      </c>
      <c r="M556">
        <v>0</v>
      </c>
      <c r="N556" t="s">
        <v>605</v>
      </c>
      <c r="O556" t="s">
        <v>2084</v>
      </c>
      <c r="P556">
        <v>13.28</v>
      </c>
      <c r="Q556" s="1">
        <v>45370</v>
      </c>
      <c r="R556" s="1">
        <v>45376</v>
      </c>
      <c r="S556" t="s">
        <v>2926</v>
      </c>
    </row>
    <row r="557" spans="1:19" x14ac:dyDescent="0.3">
      <c r="A557" s="1">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1">
        <v>45797</v>
      </c>
      <c r="R557" s="1">
        <v>45806</v>
      </c>
      <c r="S557" t="s">
        <v>2925</v>
      </c>
    </row>
    <row r="558" spans="1:19" x14ac:dyDescent="0.3">
      <c r="A558" s="1">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1">
        <v>45676</v>
      </c>
      <c r="R558" s="1">
        <v>45683</v>
      </c>
      <c r="S558" t="s">
        <v>2923</v>
      </c>
    </row>
    <row r="559" spans="1:19" x14ac:dyDescent="0.3">
      <c r="A559" s="1">
        <v>45074</v>
      </c>
      <c r="B559" t="s">
        <v>20</v>
      </c>
      <c r="C559" t="s">
        <v>30</v>
      </c>
      <c r="D559">
        <v>17</v>
      </c>
      <c r="E559">
        <v>554.25</v>
      </c>
      <c r="F559" t="s">
        <v>32</v>
      </c>
      <c r="G559" t="s">
        <v>35</v>
      </c>
      <c r="H559">
        <v>0.1</v>
      </c>
      <c r="I559" t="s">
        <v>41</v>
      </c>
      <c r="J559">
        <v>8480.0249999999996</v>
      </c>
      <c r="K559" t="s">
        <v>46</v>
      </c>
      <c r="M559">
        <v>0</v>
      </c>
      <c r="N559" t="s">
        <v>608</v>
      </c>
      <c r="O559" t="s">
        <v>2086</v>
      </c>
      <c r="P559">
        <v>8.66</v>
      </c>
      <c r="Q559" s="1">
        <v>45074</v>
      </c>
      <c r="R559" s="1">
        <v>45078</v>
      </c>
      <c r="S559" t="s">
        <v>2923</v>
      </c>
    </row>
    <row r="560" spans="1:19" x14ac:dyDescent="0.3">
      <c r="A560" s="1">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1">
        <v>45227</v>
      </c>
      <c r="R560" s="1">
        <v>45233</v>
      </c>
      <c r="S560" t="s">
        <v>2922</v>
      </c>
    </row>
    <row r="561" spans="1:19" x14ac:dyDescent="0.3">
      <c r="A561" s="1">
        <v>45255</v>
      </c>
      <c r="B561" t="s">
        <v>23</v>
      </c>
      <c r="C561" t="s">
        <v>28</v>
      </c>
      <c r="D561">
        <v>5</v>
      </c>
      <c r="E561">
        <v>99.23</v>
      </c>
      <c r="F561" t="s">
        <v>31</v>
      </c>
      <c r="G561" t="s">
        <v>36</v>
      </c>
      <c r="H561">
        <v>0</v>
      </c>
      <c r="I561" t="s">
        <v>37</v>
      </c>
      <c r="J561">
        <v>496.15</v>
      </c>
      <c r="K561" t="s">
        <v>46</v>
      </c>
      <c r="M561">
        <v>0</v>
      </c>
      <c r="N561" t="s">
        <v>610</v>
      </c>
      <c r="O561" t="s">
        <v>2088</v>
      </c>
      <c r="P561">
        <v>37.659999999999997</v>
      </c>
      <c r="Q561" s="1">
        <v>45255</v>
      </c>
      <c r="R561" s="1">
        <v>45262</v>
      </c>
      <c r="S561" t="s">
        <v>2926</v>
      </c>
    </row>
    <row r="562" spans="1:19" x14ac:dyDescent="0.3">
      <c r="A562" s="1">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1">
        <v>45613</v>
      </c>
      <c r="R562" s="1">
        <v>45620</v>
      </c>
      <c r="S562" t="s">
        <v>2923</v>
      </c>
    </row>
    <row r="563" spans="1:19" x14ac:dyDescent="0.3">
      <c r="A563" s="1">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1">
        <v>45315</v>
      </c>
      <c r="R563" s="1">
        <v>45320</v>
      </c>
      <c r="S563" t="s">
        <v>2925</v>
      </c>
    </row>
    <row r="564" spans="1:19" x14ac:dyDescent="0.3">
      <c r="A564" s="1">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1">
        <v>45096</v>
      </c>
      <c r="R564" s="1">
        <v>45106</v>
      </c>
      <c r="S564" t="s">
        <v>2924</v>
      </c>
    </row>
    <row r="565" spans="1:19" x14ac:dyDescent="0.3">
      <c r="A565" s="1">
        <v>45670</v>
      </c>
      <c r="B565" t="s">
        <v>19</v>
      </c>
      <c r="C565" t="s">
        <v>25</v>
      </c>
      <c r="D565">
        <v>17</v>
      </c>
      <c r="E565">
        <v>263.75</v>
      </c>
      <c r="F565" t="s">
        <v>31</v>
      </c>
      <c r="G565" t="s">
        <v>36</v>
      </c>
      <c r="H565">
        <v>0</v>
      </c>
      <c r="I565" t="s">
        <v>38</v>
      </c>
      <c r="J565">
        <v>4483.75</v>
      </c>
      <c r="K565" t="s">
        <v>43</v>
      </c>
      <c r="M565">
        <v>1</v>
      </c>
      <c r="N565" t="s">
        <v>614</v>
      </c>
      <c r="O565" t="s">
        <v>2092</v>
      </c>
      <c r="P565">
        <v>12.97</v>
      </c>
      <c r="Q565" s="1">
        <v>45670</v>
      </c>
      <c r="R565" s="1">
        <v>45675</v>
      </c>
      <c r="S565" t="s">
        <v>2922</v>
      </c>
    </row>
    <row r="566" spans="1:19" x14ac:dyDescent="0.3">
      <c r="A566" s="1">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1">
        <v>45315</v>
      </c>
      <c r="R566" s="1">
        <v>45323</v>
      </c>
      <c r="S566" t="s">
        <v>2922</v>
      </c>
    </row>
    <row r="567" spans="1:19" x14ac:dyDescent="0.3">
      <c r="A567" s="1">
        <v>45663</v>
      </c>
      <c r="B567" t="s">
        <v>20</v>
      </c>
      <c r="C567" t="s">
        <v>30</v>
      </c>
      <c r="D567">
        <v>2</v>
      </c>
      <c r="E567">
        <v>264</v>
      </c>
      <c r="F567" t="s">
        <v>34</v>
      </c>
      <c r="G567" t="s">
        <v>36</v>
      </c>
      <c r="H567">
        <v>0</v>
      </c>
      <c r="I567" t="s">
        <v>42</v>
      </c>
      <c r="J567">
        <v>528</v>
      </c>
      <c r="K567" t="s">
        <v>44</v>
      </c>
      <c r="L567" t="s">
        <v>49</v>
      </c>
      <c r="M567">
        <v>0</v>
      </c>
      <c r="N567" t="s">
        <v>616</v>
      </c>
      <c r="O567" t="s">
        <v>2094</v>
      </c>
      <c r="P567">
        <v>26.73</v>
      </c>
      <c r="Q567" s="1">
        <v>45663</v>
      </c>
      <c r="R567" s="1">
        <v>45671</v>
      </c>
      <c r="S567" t="s">
        <v>2923</v>
      </c>
    </row>
    <row r="568" spans="1:19" x14ac:dyDescent="0.3">
      <c r="A568" s="1">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1">
        <v>45659</v>
      </c>
      <c r="R568" s="1">
        <v>45666</v>
      </c>
      <c r="S568" t="s">
        <v>2925</v>
      </c>
    </row>
    <row r="569" spans="1:19" x14ac:dyDescent="0.3">
      <c r="A569" s="1">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1">
        <v>44979</v>
      </c>
      <c r="R569" s="1">
        <v>44988</v>
      </c>
      <c r="S569" t="s">
        <v>2924</v>
      </c>
    </row>
    <row r="570" spans="1:19" x14ac:dyDescent="0.3">
      <c r="A570" s="1">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1">
        <v>45694</v>
      </c>
      <c r="R570" s="1">
        <v>45704</v>
      </c>
      <c r="S570" t="s">
        <v>2922</v>
      </c>
    </row>
    <row r="571" spans="1:19" x14ac:dyDescent="0.3">
      <c r="A571" s="1">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1">
        <v>45561</v>
      </c>
      <c r="R571" s="1">
        <v>45565</v>
      </c>
      <c r="S571" t="s">
        <v>2922</v>
      </c>
    </row>
    <row r="572" spans="1:19" x14ac:dyDescent="0.3">
      <c r="A572" s="1">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1">
        <v>45744</v>
      </c>
      <c r="R572" s="1">
        <v>45748</v>
      </c>
      <c r="S572" t="s">
        <v>2924</v>
      </c>
    </row>
    <row r="573" spans="1:19" x14ac:dyDescent="0.3">
      <c r="A573" s="1">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1">
        <v>45108</v>
      </c>
      <c r="R573" s="1">
        <v>45116</v>
      </c>
      <c r="S573" t="s">
        <v>2922</v>
      </c>
    </row>
    <row r="574" spans="1:19" x14ac:dyDescent="0.3">
      <c r="A574" s="1">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1">
        <v>45045</v>
      </c>
      <c r="R574" s="1">
        <v>45050</v>
      </c>
      <c r="S574" t="s">
        <v>2926</v>
      </c>
    </row>
    <row r="575" spans="1:19" x14ac:dyDescent="0.3">
      <c r="A575" s="1">
        <v>45046</v>
      </c>
      <c r="B575" t="s">
        <v>19</v>
      </c>
      <c r="C575" t="s">
        <v>30</v>
      </c>
      <c r="D575">
        <v>17</v>
      </c>
      <c r="E575">
        <v>369.52</v>
      </c>
      <c r="F575" t="s">
        <v>33</v>
      </c>
      <c r="G575" t="s">
        <v>35</v>
      </c>
      <c r="H575">
        <v>0</v>
      </c>
      <c r="I575" t="s">
        <v>40</v>
      </c>
      <c r="J575">
        <v>6281.84</v>
      </c>
      <c r="K575" t="s">
        <v>44</v>
      </c>
      <c r="M575">
        <v>0</v>
      </c>
      <c r="N575" t="s">
        <v>624</v>
      </c>
      <c r="O575" t="s">
        <v>2101</v>
      </c>
      <c r="P575">
        <v>17.12</v>
      </c>
      <c r="Q575" s="1">
        <v>45046</v>
      </c>
      <c r="R575" s="1">
        <v>45052</v>
      </c>
      <c r="S575" t="s">
        <v>2922</v>
      </c>
    </row>
    <row r="576" spans="1:19" x14ac:dyDescent="0.3">
      <c r="A576" s="1">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1">
        <v>45365</v>
      </c>
      <c r="R576" s="1">
        <v>45371</v>
      </c>
      <c r="S576" t="s">
        <v>2926</v>
      </c>
    </row>
    <row r="577" spans="1:19" x14ac:dyDescent="0.3">
      <c r="A577" s="1">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1">
        <v>45104</v>
      </c>
      <c r="R577" s="1">
        <v>45109</v>
      </c>
      <c r="S577" t="s">
        <v>2925</v>
      </c>
    </row>
    <row r="578" spans="1:19" x14ac:dyDescent="0.3">
      <c r="A578" s="1">
        <v>45392</v>
      </c>
      <c r="B578" t="s">
        <v>21</v>
      </c>
      <c r="C578" t="s">
        <v>24</v>
      </c>
      <c r="D578">
        <v>19</v>
      </c>
      <c r="E578">
        <v>9.48</v>
      </c>
      <c r="F578" t="s">
        <v>32</v>
      </c>
      <c r="G578" t="s">
        <v>35</v>
      </c>
      <c r="H578">
        <v>0</v>
      </c>
      <c r="I578" t="s">
        <v>40</v>
      </c>
      <c r="J578">
        <v>180.12</v>
      </c>
      <c r="K578" t="s">
        <v>43</v>
      </c>
      <c r="M578">
        <v>0</v>
      </c>
      <c r="N578" t="s">
        <v>627</v>
      </c>
      <c r="O578" t="s">
        <v>2104</v>
      </c>
      <c r="P578">
        <v>22.33</v>
      </c>
      <c r="Q578" s="1">
        <v>45392</v>
      </c>
      <c r="R578" s="1">
        <v>45394</v>
      </c>
      <c r="S578" t="s">
        <v>2924</v>
      </c>
    </row>
    <row r="579" spans="1:19" x14ac:dyDescent="0.3">
      <c r="A579" s="1">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1">
        <v>45168</v>
      </c>
      <c r="R579" s="1">
        <v>45170</v>
      </c>
      <c r="S579" t="s">
        <v>2925</v>
      </c>
    </row>
    <row r="580" spans="1:19" x14ac:dyDescent="0.3">
      <c r="A580" s="1">
        <v>45222</v>
      </c>
      <c r="B580" t="s">
        <v>23</v>
      </c>
      <c r="C580" t="s">
        <v>24</v>
      </c>
      <c r="D580">
        <v>17</v>
      </c>
      <c r="E580">
        <v>25.95</v>
      </c>
      <c r="F580" t="s">
        <v>31</v>
      </c>
      <c r="G580" t="s">
        <v>35</v>
      </c>
      <c r="H580">
        <v>0.05</v>
      </c>
      <c r="I580" t="s">
        <v>42</v>
      </c>
      <c r="J580">
        <v>419.09249999999997</v>
      </c>
      <c r="K580" t="s">
        <v>44</v>
      </c>
      <c r="M580">
        <v>0</v>
      </c>
      <c r="N580" t="s">
        <v>629</v>
      </c>
      <c r="O580" t="s">
        <v>2106</v>
      </c>
      <c r="P580">
        <v>27.68</v>
      </c>
      <c r="Q580" s="1">
        <v>45222</v>
      </c>
      <c r="R580" s="1">
        <v>45229</v>
      </c>
      <c r="S580" t="s">
        <v>2926</v>
      </c>
    </row>
    <row r="581" spans="1:19" x14ac:dyDescent="0.3">
      <c r="A581" s="1">
        <v>45008</v>
      </c>
      <c r="B581" t="s">
        <v>21</v>
      </c>
      <c r="C581" t="s">
        <v>26</v>
      </c>
      <c r="D581">
        <v>18</v>
      </c>
      <c r="E581">
        <v>209.65</v>
      </c>
      <c r="F581" t="s">
        <v>32</v>
      </c>
      <c r="G581" t="s">
        <v>35</v>
      </c>
      <c r="H581">
        <v>0.1</v>
      </c>
      <c r="I581" t="s">
        <v>40</v>
      </c>
      <c r="J581">
        <v>3396.33</v>
      </c>
      <c r="K581" t="s">
        <v>46</v>
      </c>
      <c r="M581">
        <v>0</v>
      </c>
      <c r="N581" t="s">
        <v>630</v>
      </c>
      <c r="O581" t="s">
        <v>2107</v>
      </c>
      <c r="P581">
        <v>42.04</v>
      </c>
      <c r="Q581" s="1">
        <v>45008</v>
      </c>
      <c r="R581" s="1">
        <v>45015</v>
      </c>
      <c r="S581" t="s">
        <v>2924</v>
      </c>
    </row>
    <row r="582" spans="1:19" x14ac:dyDescent="0.3">
      <c r="A582" s="1">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1">
        <v>45556</v>
      </c>
      <c r="R582" s="1">
        <v>45565</v>
      </c>
      <c r="S582" t="s">
        <v>2925</v>
      </c>
    </row>
    <row r="583" spans="1:19" x14ac:dyDescent="0.3">
      <c r="A583" s="1">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1">
        <v>45652</v>
      </c>
      <c r="R583" s="1">
        <v>45660</v>
      </c>
      <c r="S583" t="s">
        <v>2926</v>
      </c>
    </row>
    <row r="584" spans="1:19" x14ac:dyDescent="0.3">
      <c r="A584" s="1">
        <v>44983</v>
      </c>
      <c r="B584" t="s">
        <v>19</v>
      </c>
      <c r="C584" t="s">
        <v>25</v>
      </c>
      <c r="D584">
        <v>13</v>
      </c>
      <c r="E584">
        <v>6.5</v>
      </c>
      <c r="F584" t="s">
        <v>32</v>
      </c>
      <c r="G584" t="s">
        <v>35</v>
      </c>
      <c r="H584">
        <v>0</v>
      </c>
      <c r="I584" t="s">
        <v>41</v>
      </c>
      <c r="J584">
        <v>84.5</v>
      </c>
      <c r="K584" t="s">
        <v>47</v>
      </c>
      <c r="M584">
        <v>0</v>
      </c>
      <c r="N584" t="s">
        <v>633</v>
      </c>
      <c r="O584" t="s">
        <v>2110</v>
      </c>
      <c r="P584">
        <v>20.02</v>
      </c>
      <c r="Q584" s="1">
        <v>44983</v>
      </c>
      <c r="R584" s="1">
        <v>44988</v>
      </c>
      <c r="S584" t="s">
        <v>2922</v>
      </c>
    </row>
    <row r="585" spans="1:19" x14ac:dyDescent="0.3">
      <c r="A585" s="1">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1">
        <v>45636</v>
      </c>
      <c r="R585" s="1">
        <v>45640</v>
      </c>
      <c r="S585" t="s">
        <v>2924</v>
      </c>
    </row>
    <row r="586" spans="1:19" x14ac:dyDescent="0.3">
      <c r="A586" s="1">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1">
        <v>45658</v>
      </c>
      <c r="R586" s="1">
        <v>45660</v>
      </c>
      <c r="S586" t="s">
        <v>2922</v>
      </c>
    </row>
    <row r="587" spans="1:19" x14ac:dyDescent="0.3">
      <c r="A587" s="1">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1">
        <v>45730</v>
      </c>
      <c r="R587" s="1">
        <v>45737</v>
      </c>
      <c r="S587" t="s">
        <v>2922</v>
      </c>
    </row>
    <row r="588" spans="1:19" x14ac:dyDescent="0.3">
      <c r="A588" s="1">
        <v>45307</v>
      </c>
      <c r="B588" t="s">
        <v>20</v>
      </c>
      <c r="C588" t="s">
        <v>29</v>
      </c>
      <c r="D588">
        <v>5</v>
      </c>
      <c r="E588">
        <v>440.93</v>
      </c>
      <c r="F588" t="s">
        <v>31</v>
      </c>
      <c r="G588" t="s">
        <v>35</v>
      </c>
      <c r="H588">
        <v>0.1</v>
      </c>
      <c r="I588" t="s">
        <v>40</v>
      </c>
      <c r="J588">
        <v>1984.1849999999999</v>
      </c>
      <c r="K588" t="s">
        <v>44</v>
      </c>
      <c r="M588">
        <v>0</v>
      </c>
      <c r="N588" t="s">
        <v>637</v>
      </c>
      <c r="O588" t="s">
        <v>2114</v>
      </c>
      <c r="P588">
        <v>23.84</v>
      </c>
      <c r="Q588" s="1">
        <v>45307</v>
      </c>
      <c r="R588" s="1">
        <v>45311</v>
      </c>
      <c r="S588" t="s">
        <v>2923</v>
      </c>
    </row>
    <row r="589" spans="1:19" x14ac:dyDescent="0.3">
      <c r="A589" s="1">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1">
        <v>45401</v>
      </c>
      <c r="R589" s="1">
        <v>45407</v>
      </c>
      <c r="S589" t="s">
        <v>2926</v>
      </c>
    </row>
    <row r="590" spans="1:19" x14ac:dyDescent="0.3">
      <c r="A590" s="1">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1">
        <v>45268</v>
      </c>
      <c r="R590" s="1">
        <v>45271</v>
      </c>
      <c r="S590" t="s">
        <v>2924</v>
      </c>
    </row>
    <row r="591" spans="1:19" x14ac:dyDescent="0.3">
      <c r="A591" s="1">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1">
        <v>45000</v>
      </c>
      <c r="R591" s="1">
        <v>45004</v>
      </c>
      <c r="S591" t="s">
        <v>2924</v>
      </c>
    </row>
    <row r="592" spans="1:19" x14ac:dyDescent="0.3">
      <c r="A592" s="1">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1">
        <v>45695</v>
      </c>
      <c r="R592" s="1">
        <v>45701</v>
      </c>
      <c r="S592" t="s">
        <v>2923</v>
      </c>
    </row>
    <row r="593" spans="1:19" x14ac:dyDescent="0.3">
      <c r="A593" s="1">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1">
        <v>45835</v>
      </c>
      <c r="R593" s="1">
        <v>45840</v>
      </c>
      <c r="S593" t="s">
        <v>2924</v>
      </c>
    </row>
    <row r="594" spans="1:19" x14ac:dyDescent="0.3">
      <c r="A594" s="1">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1">
        <v>45643</v>
      </c>
      <c r="R594" s="1">
        <v>45646</v>
      </c>
      <c r="S594" t="s">
        <v>2925</v>
      </c>
    </row>
    <row r="595" spans="1:19" x14ac:dyDescent="0.3">
      <c r="A595" s="1">
        <v>45415</v>
      </c>
      <c r="B595" t="s">
        <v>20</v>
      </c>
      <c r="C595" t="s">
        <v>24</v>
      </c>
      <c r="D595">
        <v>6</v>
      </c>
      <c r="E595">
        <v>266.67</v>
      </c>
      <c r="F595" t="s">
        <v>31</v>
      </c>
      <c r="G595" t="s">
        <v>35</v>
      </c>
      <c r="H595">
        <v>0.05</v>
      </c>
      <c r="I595" t="s">
        <v>37</v>
      </c>
      <c r="J595">
        <v>1520.019</v>
      </c>
      <c r="K595" t="s">
        <v>46</v>
      </c>
      <c r="M595">
        <v>0</v>
      </c>
      <c r="N595" t="s">
        <v>644</v>
      </c>
      <c r="O595" t="s">
        <v>2121</v>
      </c>
      <c r="P595">
        <v>48.49</v>
      </c>
      <c r="Q595" s="1">
        <v>45415</v>
      </c>
      <c r="R595" s="1">
        <v>45423</v>
      </c>
      <c r="S595" t="s">
        <v>2923</v>
      </c>
    </row>
    <row r="596" spans="1:19" x14ac:dyDescent="0.3">
      <c r="A596" s="1">
        <v>45286</v>
      </c>
      <c r="B596" t="s">
        <v>20</v>
      </c>
      <c r="C596" t="s">
        <v>30</v>
      </c>
      <c r="D596">
        <v>3</v>
      </c>
      <c r="E596">
        <v>300.8</v>
      </c>
      <c r="F596" t="s">
        <v>31</v>
      </c>
      <c r="G596" t="s">
        <v>35</v>
      </c>
      <c r="H596">
        <v>0.1</v>
      </c>
      <c r="I596" t="s">
        <v>40</v>
      </c>
      <c r="J596">
        <v>812.16000000000008</v>
      </c>
      <c r="K596" t="s">
        <v>47</v>
      </c>
      <c r="M596">
        <v>1</v>
      </c>
      <c r="N596" t="s">
        <v>645</v>
      </c>
      <c r="O596" t="s">
        <v>2029</v>
      </c>
      <c r="P596">
        <v>15.98</v>
      </c>
      <c r="Q596" s="1">
        <v>45286</v>
      </c>
      <c r="R596" s="1">
        <v>45292</v>
      </c>
      <c r="S596" t="s">
        <v>2923</v>
      </c>
    </row>
    <row r="597" spans="1:19" x14ac:dyDescent="0.3">
      <c r="A597" s="1">
        <v>45425</v>
      </c>
      <c r="B597" t="s">
        <v>22</v>
      </c>
      <c r="C597" t="s">
        <v>30</v>
      </c>
      <c r="D597">
        <v>11</v>
      </c>
      <c r="E597">
        <v>79.63</v>
      </c>
      <c r="F597" t="s">
        <v>31</v>
      </c>
      <c r="G597" t="s">
        <v>35</v>
      </c>
      <c r="H597">
        <v>0.05</v>
      </c>
      <c r="I597" t="s">
        <v>39</v>
      </c>
      <c r="J597">
        <v>832.13349999999991</v>
      </c>
      <c r="K597" t="s">
        <v>43</v>
      </c>
      <c r="M597">
        <v>0</v>
      </c>
      <c r="N597" t="s">
        <v>646</v>
      </c>
      <c r="O597" t="s">
        <v>2122</v>
      </c>
      <c r="P597">
        <v>43.84</v>
      </c>
      <c r="Q597" s="1">
        <v>45425</v>
      </c>
      <c r="R597" s="1">
        <v>45431</v>
      </c>
      <c r="S597" t="s">
        <v>2925</v>
      </c>
    </row>
    <row r="598" spans="1:19" x14ac:dyDescent="0.3">
      <c r="A598" s="1">
        <v>45206</v>
      </c>
      <c r="B598" t="s">
        <v>20</v>
      </c>
      <c r="C598" t="s">
        <v>24</v>
      </c>
      <c r="D598">
        <v>6</v>
      </c>
      <c r="E598">
        <v>505.7</v>
      </c>
      <c r="F598" t="s">
        <v>33</v>
      </c>
      <c r="G598" t="s">
        <v>36</v>
      </c>
      <c r="H598">
        <v>0</v>
      </c>
      <c r="I598" t="s">
        <v>38</v>
      </c>
      <c r="J598">
        <v>3034.2</v>
      </c>
      <c r="K598" t="s">
        <v>47</v>
      </c>
      <c r="M598">
        <v>0</v>
      </c>
      <c r="N598" t="s">
        <v>647</v>
      </c>
      <c r="O598" t="s">
        <v>2123</v>
      </c>
      <c r="P598">
        <v>40.380000000000003</v>
      </c>
      <c r="Q598" s="1">
        <v>45206</v>
      </c>
      <c r="R598" s="1">
        <v>45215</v>
      </c>
      <c r="S598" t="s">
        <v>2923</v>
      </c>
    </row>
    <row r="599" spans="1:19" x14ac:dyDescent="0.3">
      <c r="A599" s="1">
        <v>45118</v>
      </c>
      <c r="B599" t="s">
        <v>23</v>
      </c>
      <c r="C599" t="s">
        <v>30</v>
      </c>
      <c r="D599">
        <v>5</v>
      </c>
      <c r="E599">
        <v>569.62</v>
      </c>
      <c r="F599" t="s">
        <v>33</v>
      </c>
      <c r="G599" t="s">
        <v>35</v>
      </c>
      <c r="H599">
        <v>0</v>
      </c>
      <c r="I599" t="s">
        <v>41</v>
      </c>
      <c r="J599">
        <v>2848.1</v>
      </c>
      <c r="K599" t="s">
        <v>46</v>
      </c>
      <c r="L599" t="s">
        <v>48</v>
      </c>
      <c r="M599">
        <v>0</v>
      </c>
      <c r="N599" t="s">
        <v>648</v>
      </c>
      <c r="O599" t="s">
        <v>2124</v>
      </c>
      <c r="P599">
        <v>48.8</v>
      </c>
      <c r="Q599" s="1">
        <v>45118</v>
      </c>
      <c r="R599" s="1">
        <v>45120</v>
      </c>
      <c r="S599" t="s">
        <v>2926</v>
      </c>
    </row>
    <row r="600" spans="1:19" x14ac:dyDescent="0.3">
      <c r="A600" s="1">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1">
        <v>45688</v>
      </c>
      <c r="R600" s="1">
        <v>45694</v>
      </c>
      <c r="S600" t="s">
        <v>2923</v>
      </c>
    </row>
    <row r="601" spans="1:19" x14ac:dyDescent="0.3">
      <c r="A601" s="1">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1">
        <v>44961</v>
      </c>
      <c r="R601" s="1">
        <v>44964</v>
      </c>
      <c r="S601" t="s">
        <v>2923</v>
      </c>
    </row>
    <row r="602" spans="1:19" x14ac:dyDescent="0.3">
      <c r="A602" s="1">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1">
        <v>45171</v>
      </c>
      <c r="R602" s="1">
        <v>45181</v>
      </c>
      <c r="S602" t="s">
        <v>2923</v>
      </c>
    </row>
    <row r="603" spans="1:19" x14ac:dyDescent="0.3">
      <c r="A603" s="1">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1">
        <v>45639</v>
      </c>
      <c r="R603" s="1">
        <v>45641</v>
      </c>
      <c r="S603" t="s">
        <v>2925</v>
      </c>
    </row>
    <row r="604" spans="1:19" x14ac:dyDescent="0.3">
      <c r="A604" s="1">
        <v>45212</v>
      </c>
      <c r="B604" t="s">
        <v>22</v>
      </c>
      <c r="C604" t="s">
        <v>29</v>
      </c>
      <c r="D604">
        <v>5</v>
      </c>
      <c r="E604">
        <v>75.27</v>
      </c>
      <c r="F604" t="s">
        <v>32</v>
      </c>
      <c r="G604" t="s">
        <v>35</v>
      </c>
      <c r="H604">
        <v>0</v>
      </c>
      <c r="I604" t="s">
        <v>40</v>
      </c>
      <c r="J604">
        <v>376.35</v>
      </c>
      <c r="K604" t="s">
        <v>47</v>
      </c>
      <c r="M604">
        <v>0</v>
      </c>
      <c r="N604" t="s">
        <v>653</v>
      </c>
      <c r="O604" t="s">
        <v>2129</v>
      </c>
      <c r="P604">
        <v>31.61</v>
      </c>
      <c r="Q604" s="1">
        <v>45212</v>
      </c>
      <c r="R604" s="1">
        <v>45221</v>
      </c>
      <c r="S604" t="s">
        <v>2925</v>
      </c>
    </row>
    <row r="605" spans="1:19" x14ac:dyDescent="0.3">
      <c r="A605" s="1">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1">
        <v>45568</v>
      </c>
      <c r="R605" s="1">
        <v>45572</v>
      </c>
      <c r="S605" t="s">
        <v>2923</v>
      </c>
    </row>
    <row r="606" spans="1:19" x14ac:dyDescent="0.3">
      <c r="A606" s="1">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1">
        <v>45410</v>
      </c>
      <c r="R606" s="1">
        <v>45416</v>
      </c>
      <c r="S606" t="s">
        <v>2925</v>
      </c>
    </row>
    <row r="607" spans="1:19" x14ac:dyDescent="0.3">
      <c r="A607" s="1">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1">
        <v>45329</v>
      </c>
      <c r="R607" s="1">
        <v>45336</v>
      </c>
      <c r="S607" t="s">
        <v>2925</v>
      </c>
    </row>
    <row r="608" spans="1:19" x14ac:dyDescent="0.3">
      <c r="A608" s="1">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1">
        <v>44965</v>
      </c>
      <c r="R608" s="1">
        <v>44968</v>
      </c>
      <c r="S608" t="s">
        <v>2923</v>
      </c>
    </row>
    <row r="609" spans="1:19" x14ac:dyDescent="0.3">
      <c r="A609" s="1">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1">
        <v>45094</v>
      </c>
      <c r="R609" s="1">
        <v>45096</v>
      </c>
      <c r="S609" t="s">
        <v>2923</v>
      </c>
    </row>
    <row r="610" spans="1:19" x14ac:dyDescent="0.3">
      <c r="A610" s="1">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1">
        <v>45502</v>
      </c>
      <c r="R610" s="1">
        <v>45505</v>
      </c>
      <c r="S610" t="s">
        <v>2926</v>
      </c>
    </row>
    <row r="611" spans="1:19" x14ac:dyDescent="0.3">
      <c r="A611" s="1">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1">
        <v>45320</v>
      </c>
      <c r="R611" s="1">
        <v>45323</v>
      </c>
      <c r="S611" t="s">
        <v>2926</v>
      </c>
    </row>
    <row r="612" spans="1:19" x14ac:dyDescent="0.3">
      <c r="A612" s="1">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1">
        <v>45309</v>
      </c>
      <c r="R612" s="1">
        <v>45314</v>
      </c>
      <c r="S612" t="s">
        <v>2922</v>
      </c>
    </row>
    <row r="613" spans="1:19" x14ac:dyDescent="0.3">
      <c r="A613" s="1">
        <v>45516</v>
      </c>
      <c r="B613" t="s">
        <v>21</v>
      </c>
      <c r="C613" t="s">
        <v>27</v>
      </c>
      <c r="D613">
        <v>10</v>
      </c>
      <c r="E613">
        <v>278</v>
      </c>
      <c r="F613" t="s">
        <v>33</v>
      </c>
      <c r="G613" t="s">
        <v>36</v>
      </c>
      <c r="H613">
        <v>0</v>
      </c>
      <c r="I613" t="s">
        <v>42</v>
      </c>
      <c r="J613">
        <v>2780</v>
      </c>
      <c r="K613" t="s">
        <v>45</v>
      </c>
      <c r="M613">
        <v>0</v>
      </c>
      <c r="N613" t="s">
        <v>662</v>
      </c>
      <c r="O613" t="s">
        <v>2138</v>
      </c>
      <c r="P613">
        <v>24.25</v>
      </c>
      <c r="Q613" s="1">
        <v>45516</v>
      </c>
      <c r="R613" s="1">
        <v>45526</v>
      </c>
      <c r="S613" t="s">
        <v>2924</v>
      </c>
    </row>
    <row r="614" spans="1:19" x14ac:dyDescent="0.3">
      <c r="A614" s="1">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1">
        <v>45763</v>
      </c>
      <c r="R614" s="1">
        <v>45767</v>
      </c>
      <c r="S614" t="s">
        <v>2926</v>
      </c>
    </row>
    <row r="615" spans="1:19" x14ac:dyDescent="0.3">
      <c r="A615" s="1">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1">
        <v>44983</v>
      </c>
      <c r="R615" s="1">
        <v>44987</v>
      </c>
      <c r="S615" t="s">
        <v>2925</v>
      </c>
    </row>
    <row r="616" spans="1:19" x14ac:dyDescent="0.3">
      <c r="A616" s="1">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1">
        <v>44933</v>
      </c>
      <c r="R616" s="1">
        <v>44937</v>
      </c>
      <c r="S616" t="s">
        <v>2922</v>
      </c>
    </row>
    <row r="617" spans="1:19" x14ac:dyDescent="0.3">
      <c r="A617" s="1">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1">
        <v>45223</v>
      </c>
      <c r="R617" s="1">
        <v>45233</v>
      </c>
      <c r="S617" t="s">
        <v>2923</v>
      </c>
    </row>
    <row r="618" spans="1:19" x14ac:dyDescent="0.3">
      <c r="A618" s="1">
        <v>45293</v>
      </c>
      <c r="B618" t="s">
        <v>21</v>
      </c>
      <c r="C618" t="s">
        <v>29</v>
      </c>
      <c r="D618">
        <v>15</v>
      </c>
      <c r="E618">
        <v>115.48</v>
      </c>
      <c r="F618" t="s">
        <v>32</v>
      </c>
      <c r="G618" t="s">
        <v>36</v>
      </c>
      <c r="H618">
        <v>0.15</v>
      </c>
      <c r="I618" t="s">
        <v>39</v>
      </c>
      <c r="J618">
        <v>1472.37</v>
      </c>
      <c r="K618" t="s">
        <v>45</v>
      </c>
      <c r="M618">
        <v>0</v>
      </c>
      <c r="N618" t="s">
        <v>667</v>
      </c>
      <c r="O618" t="s">
        <v>2143</v>
      </c>
      <c r="P618">
        <v>6.04</v>
      </c>
      <c r="Q618" s="1">
        <v>45293</v>
      </c>
      <c r="R618" s="1">
        <v>45303</v>
      </c>
      <c r="S618" t="s">
        <v>2924</v>
      </c>
    </row>
    <row r="619" spans="1:19" x14ac:dyDescent="0.3">
      <c r="A619" s="1">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1">
        <v>45552</v>
      </c>
      <c r="R619" s="1">
        <v>45560</v>
      </c>
      <c r="S619" t="s">
        <v>2923</v>
      </c>
    </row>
    <row r="620" spans="1:19" x14ac:dyDescent="0.3">
      <c r="A620" s="1">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1">
        <v>45417</v>
      </c>
      <c r="R620" s="1">
        <v>45423</v>
      </c>
      <c r="S620" t="s">
        <v>2925</v>
      </c>
    </row>
    <row r="621" spans="1:19" x14ac:dyDescent="0.3">
      <c r="A621" s="1">
        <v>45835</v>
      </c>
      <c r="B621" t="s">
        <v>23</v>
      </c>
      <c r="C621" t="s">
        <v>26</v>
      </c>
      <c r="D621">
        <v>13</v>
      </c>
      <c r="E621">
        <v>112.88</v>
      </c>
      <c r="F621" t="s">
        <v>34</v>
      </c>
      <c r="G621" t="s">
        <v>36</v>
      </c>
      <c r="H621">
        <v>0</v>
      </c>
      <c r="I621" t="s">
        <v>39</v>
      </c>
      <c r="J621">
        <v>1467.44</v>
      </c>
      <c r="K621" t="s">
        <v>46</v>
      </c>
      <c r="M621">
        <v>0</v>
      </c>
      <c r="N621" t="s">
        <v>670</v>
      </c>
      <c r="O621" t="s">
        <v>2146</v>
      </c>
      <c r="P621">
        <v>12.39</v>
      </c>
      <c r="Q621" s="1">
        <v>45835</v>
      </c>
      <c r="R621" s="1">
        <v>45837</v>
      </c>
      <c r="S621" t="s">
        <v>2926</v>
      </c>
    </row>
    <row r="622" spans="1:19" x14ac:dyDescent="0.3">
      <c r="A622" s="1">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1">
        <v>45426</v>
      </c>
      <c r="R622" s="1">
        <v>45434</v>
      </c>
      <c r="S622" t="s">
        <v>2926</v>
      </c>
    </row>
    <row r="623" spans="1:19" x14ac:dyDescent="0.3">
      <c r="A623" s="1">
        <v>45351</v>
      </c>
      <c r="B623" t="s">
        <v>21</v>
      </c>
      <c r="C623" t="s">
        <v>27</v>
      </c>
      <c r="D623">
        <v>15</v>
      </c>
      <c r="E623">
        <v>119.86</v>
      </c>
      <c r="F623" t="s">
        <v>32</v>
      </c>
      <c r="G623" t="s">
        <v>35</v>
      </c>
      <c r="H623">
        <v>0.15</v>
      </c>
      <c r="I623" t="s">
        <v>42</v>
      </c>
      <c r="J623">
        <v>1528.2149999999999</v>
      </c>
      <c r="K623" t="s">
        <v>46</v>
      </c>
      <c r="M623">
        <v>1</v>
      </c>
      <c r="N623" t="s">
        <v>672</v>
      </c>
      <c r="O623" t="s">
        <v>2148</v>
      </c>
      <c r="P623">
        <v>30.78</v>
      </c>
      <c r="Q623" s="1">
        <v>45351</v>
      </c>
      <c r="R623" s="1">
        <v>45356</v>
      </c>
      <c r="S623" t="s">
        <v>2924</v>
      </c>
    </row>
    <row r="624" spans="1:19" x14ac:dyDescent="0.3">
      <c r="A624" s="1">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1">
        <v>45796</v>
      </c>
      <c r="R624" s="1">
        <v>45804</v>
      </c>
      <c r="S624" t="s">
        <v>2922</v>
      </c>
    </row>
    <row r="625" spans="1:19" x14ac:dyDescent="0.3">
      <c r="A625" s="1">
        <v>45628</v>
      </c>
      <c r="B625" t="s">
        <v>19</v>
      </c>
      <c r="C625" t="s">
        <v>26</v>
      </c>
      <c r="D625">
        <v>9</v>
      </c>
      <c r="E625">
        <v>363.39</v>
      </c>
      <c r="F625" t="s">
        <v>31</v>
      </c>
      <c r="G625" t="s">
        <v>35</v>
      </c>
      <c r="H625">
        <v>0.05</v>
      </c>
      <c r="I625" t="s">
        <v>41</v>
      </c>
      <c r="J625">
        <v>3106.9845</v>
      </c>
      <c r="K625" t="s">
        <v>44</v>
      </c>
      <c r="M625">
        <v>0</v>
      </c>
      <c r="N625" t="s">
        <v>674</v>
      </c>
      <c r="O625" t="s">
        <v>1652</v>
      </c>
      <c r="P625">
        <v>41.64</v>
      </c>
      <c r="Q625" s="1">
        <v>45628</v>
      </c>
      <c r="R625" s="1">
        <v>45630</v>
      </c>
      <c r="S625" t="s">
        <v>2922</v>
      </c>
    </row>
    <row r="626" spans="1:19" x14ac:dyDescent="0.3">
      <c r="A626" s="1">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1">
        <v>45503</v>
      </c>
      <c r="R626" s="1">
        <v>45508</v>
      </c>
      <c r="S626" t="s">
        <v>2926</v>
      </c>
    </row>
    <row r="627" spans="1:19" x14ac:dyDescent="0.3">
      <c r="A627" s="1">
        <v>45102</v>
      </c>
      <c r="B627" t="s">
        <v>20</v>
      </c>
      <c r="C627" t="s">
        <v>26</v>
      </c>
      <c r="D627">
        <v>12</v>
      </c>
      <c r="E627">
        <v>192.03</v>
      </c>
      <c r="F627" t="s">
        <v>31</v>
      </c>
      <c r="G627" t="s">
        <v>35</v>
      </c>
      <c r="H627">
        <v>0.1</v>
      </c>
      <c r="I627" t="s">
        <v>40</v>
      </c>
      <c r="J627">
        <v>2073.924</v>
      </c>
      <c r="K627" t="s">
        <v>45</v>
      </c>
      <c r="M627">
        <v>0</v>
      </c>
      <c r="N627" t="s">
        <v>676</v>
      </c>
      <c r="O627" t="s">
        <v>2151</v>
      </c>
      <c r="P627">
        <v>41.08</v>
      </c>
      <c r="Q627" s="1">
        <v>45102</v>
      </c>
      <c r="R627" s="1">
        <v>45110</v>
      </c>
      <c r="S627" t="s">
        <v>2923</v>
      </c>
    </row>
    <row r="628" spans="1:19" x14ac:dyDescent="0.3">
      <c r="A628" s="1">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1">
        <v>45483</v>
      </c>
      <c r="R628" s="1">
        <v>45492</v>
      </c>
      <c r="S628" t="s">
        <v>2923</v>
      </c>
    </row>
    <row r="629" spans="1:19" x14ac:dyDescent="0.3">
      <c r="A629" s="1">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1">
        <v>44932</v>
      </c>
      <c r="R629" s="1">
        <v>44941</v>
      </c>
      <c r="S629" t="s">
        <v>2922</v>
      </c>
    </row>
    <row r="630" spans="1:19" x14ac:dyDescent="0.3">
      <c r="A630" s="1">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1">
        <v>45346</v>
      </c>
      <c r="R630" s="1">
        <v>45351</v>
      </c>
      <c r="S630" t="s">
        <v>2923</v>
      </c>
    </row>
    <row r="631" spans="1:19" x14ac:dyDescent="0.3">
      <c r="A631" s="1">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1">
        <v>45271</v>
      </c>
      <c r="R631" s="1">
        <v>45280</v>
      </c>
      <c r="S631" t="s">
        <v>2925</v>
      </c>
    </row>
    <row r="632" spans="1:19" x14ac:dyDescent="0.3">
      <c r="A632" s="1">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1">
        <v>45707</v>
      </c>
      <c r="R632" s="1">
        <v>45711</v>
      </c>
      <c r="S632" t="s">
        <v>2923</v>
      </c>
    </row>
    <row r="633" spans="1:19" x14ac:dyDescent="0.3">
      <c r="A633" s="1">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1">
        <v>45734</v>
      </c>
      <c r="R633" s="1">
        <v>45742</v>
      </c>
      <c r="S633" t="s">
        <v>2926</v>
      </c>
    </row>
    <row r="634" spans="1:19" x14ac:dyDescent="0.3">
      <c r="A634" s="1">
        <v>45191</v>
      </c>
      <c r="B634" t="s">
        <v>20</v>
      </c>
      <c r="C634" t="s">
        <v>25</v>
      </c>
      <c r="D634">
        <v>7</v>
      </c>
      <c r="E634">
        <v>480.08</v>
      </c>
      <c r="F634" t="s">
        <v>31</v>
      </c>
      <c r="G634" t="s">
        <v>35</v>
      </c>
      <c r="H634">
        <v>0.1</v>
      </c>
      <c r="I634" t="s">
        <v>41</v>
      </c>
      <c r="J634">
        <v>3024.5039999999999</v>
      </c>
      <c r="K634" t="s">
        <v>43</v>
      </c>
      <c r="M634">
        <v>1</v>
      </c>
      <c r="N634" t="s">
        <v>683</v>
      </c>
      <c r="O634" t="s">
        <v>2158</v>
      </c>
      <c r="P634">
        <v>44.37</v>
      </c>
      <c r="Q634" s="1">
        <v>45191</v>
      </c>
      <c r="R634" s="1">
        <v>45196</v>
      </c>
      <c r="S634" t="s">
        <v>2923</v>
      </c>
    </row>
    <row r="635" spans="1:19" x14ac:dyDescent="0.3">
      <c r="A635" s="1">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1">
        <v>45283</v>
      </c>
      <c r="R635" s="1">
        <v>45288</v>
      </c>
      <c r="S635" t="s">
        <v>2926</v>
      </c>
    </row>
    <row r="636" spans="1:19" x14ac:dyDescent="0.3">
      <c r="A636" s="1">
        <v>45781</v>
      </c>
      <c r="B636" t="s">
        <v>21</v>
      </c>
      <c r="C636" t="s">
        <v>26</v>
      </c>
      <c r="D636">
        <v>6</v>
      </c>
      <c r="E636">
        <v>249.09</v>
      </c>
      <c r="F636" t="s">
        <v>31</v>
      </c>
      <c r="G636" t="s">
        <v>36</v>
      </c>
      <c r="H636">
        <v>0.05</v>
      </c>
      <c r="I636" t="s">
        <v>39</v>
      </c>
      <c r="J636">
        <v>1419.8130000000001</v>
      </c>
      <c r="K636" t="s">
        <v>47</v>
      </c>
      <c r="M636">
        <v>0</v>
      </c>
      <c r="N636" t="s">
        <v>685</v>
      </c>
      <c r="O636" t="s">
        <v>2160</v>
      </c>
      <c r="P636">
        <v>20.38</v>
      </c>
      <c r="Q636" s="1">
        <v>45781</v>
      </c>
      <c r="R636" s="1">
        <v>45787</v>
      </c>
      <c r="S636" t="s">
        <v>2924</v>
      </c>
    </row>
    <row r="637" spans="1:19" x14ac:dyDescent="0.3">
      <c r="A637" s="1">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1">
        <v>45668</v>
      </c>
      <c r="R637" s="1">
        <v>45670</v>
      </c>
      <c r="S637" t="s">
        <v>2922</v>
      </c>
    </row>
    <row r="638" spans="1:19" x14ac:dyDescent="0.3">
      <c r="A638" s="1">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1">
        <v>45768</v>
      </c>
      <c r="R638" s="1">
        <v>45771</v>
      </c>
      <c r="S638" t="s">
        <v>2923</v>
      </c>
    </row>
    <row r="639" spans="1:19" x14ac:dyDescent="0.3">
      <c r="A639" s="1">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1">
        <v>45273</v>
      </c>
      <c r="R639" s="1">
        <v>45282</v>
      </c>
      <c r="S639" t="s">
        <v>2925</v>
      </c>
    </row>
    <row r="640" spans="1:19" x14ac:dyDescent="0.3">
      <c r="A640" s="1">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1">
        <v>45329</v>
      </c>
      <c r="R640" s="1">
        <v>45333</v>
      </c>
      <c r="S640" t="s">
        <v>2922</v>
      </c>
    </row>
    <row r="641" spans="1:19" x14ac:dyDescent="0.3">
      <c r="A641" s="1">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1">
        <v>45406</v>
      </c>
      <c r="R641" s="1">
        <v>45409</v>
      </c>
      <c r="S641" t="s">
        <v>2924</v>
      </c>
    </row>
    <row r="642" spans="1:19" x14ac:dyDescent="0.3">
      <c r="A642" s="1">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1">
        <v>45180</v>
      </c>
      <c r="R642" s="1">
        <v>45185</v>
      </c>
      <c r="S642" t="s">
        <v>2926</v>
      </c>
    </row>
    <row r="643" spans="1:19" x14ac:dyDescent="0.3">
      <c r="A643" s="1">
        <v>45817</v>
      </c>
      <c r="B643" t="s">
        <v>22</v>
      </c>
      <c r="C643" t="s">
        <v>30</v>
      </c>
      <c r="D643">
        <v>2</v>
      </c>
      <c r="E643">
        <v>89.6</v>
      </c>
      <c r="F643" t="s">
        <v>32</v>
      </c>
      <c r="G643" t="s">
        <v>36</v>
      </c>
      <c r="H643">
        <v>0</v>
      </c>
      <c r="I643" t="s">
        <v>41</v>
      </c>
      <c r="J643">
        <v>179.2</v>
      </c>
      <c r="K643" t="s">
        <v>44</v>
      </c>
      <c r="L643" t="s">
        <v>48</v>
      </c>
      <c r="M643">
        <v>0</v>
      </c>
      <c r="N643" t="s">
        <v>692</v>
      </c>
      <c r="O643" t="s">
        <v>2166</v>
      </c>
      <c r="P643">
        <v>23.69</v>
      </c>
      <c r="Q643" s="1">
        <v>45817</v>
      </c>
      <c r="R643" s="1">
        <v>45820</v>
      </c>
      <c r="S643" t="s">
        <v>2925</v>
      </c>
    </row>
    <row r="644" spans="1:19" x14ac:dyDescent="0.3">
      <c r="A644" s="1">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1">
        <v>45814</v>
      </c>
      <c r="R644" s="1">
        <v>45824</v>
      </c>
      <c r="S644" t="s">
        <v>2922</v>
      </c>
    </row>
    <row r="645" spans="1:19" x14ac:dyDescent="0.3">
      <c r="A645" s="1">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1">
        <v>45649</v>
      </c>
      <c r="R645" s="1">
        <v>45654</v>
      </c>
      <c r="S645" t="s">
        <v>2923</v>
      </c>
    </row>
    <row r="646" spans="1:19" x14ac:dyDescent="0.3">
      <c r="A646" s="1">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1">
        <v>45165</v>
      </c>
      <c r="R646" s="1">
        <v>45172</v>
      </c>
      <c r="S646" t="s">
        <v>2922</v>
      </c>
    </row>
    <row r="647" spans="1:19" x14ac:dyDescent="0.3">
      <c r="A647" s="1">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1">
        <v>44935</v>
      </c>
      <c r="R647" s="1">
        <v>44939</v>
      </c>
      <c r="S647" t="s">
        <v>2922</v>
      </c>
    </row>
    <row r="648" spans="1:19" x14ac:dyDescent="0.3">
      <c r="A648" s="1">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1">
        <v>45769</v>
      </c>
      <c r="R648" s="1">
        <v>45772</v>
      </c>
      <c r="S648" t="s">
        <v>2922</v>
      </c>
    </row>
    <row r="649" spans="1:19" x14ac:dyDescent="0.3">
      <c r="A649" s="1">
        <v>45175</v>
      </c>
      <c r="B649" t="s">
        <v>20</v>
      </c>
      <c r="C649" t="s">
        <v>25</v>
      </c>
      <c r="D649">
        <v>7</v>
      </c>
      <c r="E649">
        <v>18.36</v>
      </c>
      <c r="F649" t="s">
        <v>34</v>
      </c>
      <c r="G649" t="s">
        <v>36</v>
      </c>
      <c r="H649">
        <v>0.1</v>
      </c>
      <c r="I649" t="s">
        <v>38</v>
      </c>
      <c r="J649">
        <v>115.66800000000001</v>
      </c>
      <c r="K649" t="s">
        <v>43</v>
      </c>
      <c r="M649">
        <v>0</v>
      </c>
      <c r="N649" t="s">
        <v>698</v>
      </c>
      <c r="O649" t="s">
        <v>2172</v>
      </c>
      <c r="P649">
        <v>48.92</v>
      </c>
      <c r="Q649" s="1">
        <v>45175</v>
      </c>
      <c r="R649" s="1">
        <v>45180</v>
      </c>
      <c r="S649" t="s">
        <v>2923</v>
      </c>
    </row>
    <row r="650" spans="1:19" x14ac:dyDescent="0.3">
      <c r="A650" s="1">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1">
        <v>44947</v>
      </c>
      <c r="R650" s="1">
        <v>44953</v>
      </c>
      <c r="S650" t="s">
        <v>2922</v>
      </c>
    </row>
    <row r="651" spans="1:19" x14ac:dyDescent="0.3">
      <c r="A651" s="1">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1">
        <v>45408</v>
      </c>
      <c r="R651" s="1">
        <v>45418</v>
      </c>
      <c r="S651" t="s">
        <v>2925</v>
      </c>
    </row>
    <row r="652" spans="1:19" x14ac:dyDescent="0.3">
      <c r="A652" s="1">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1">
        <v>45104</v>
      </c>
      <c r="R652" s="1">
        <v>45107</v>
      </c>
      <c r="S652" t="s">
        <v>2924</v>
      </c>
    </row>
    <row r="653" spans="1:19" x14ac:dyDescent="0.3">
      <c r="A653" s="1">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1">
        <v>44927</v>
      </c>
      <c r="R653" s="1">
        <v>44934</v>
      </c>
      <c r="S653" t="s">
        <v>2922</v>
      </c>
    </row>
    <row r="654" spans="1:19" x14ac:dyDescent="0.3">
      <c r="A654" s="1">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1">
        <v>45290</v>
      </c>
      <c r="R654" s="1">
        <v>45293</v>
      </c>
      <c r="S654" t="s">
        <v>2926</v>
      </c>
    </row>
    <row r="655" spans="1:19" x14ac:dyDescent="0.3">
      <c r="A655" s="1">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1">
        <v>44948</v>
      </c>
      <c r="R655" s="1">
        <v>44950</v>
      </c>
      <c r="S655" t="s">
        <v>2925</v>
      </c>
    </row>
    <row r="656" spans="1:19" x14ac:dyDescent="0.3">
      <c r="A656" s="1">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1">
        <v>45500</v>
      </c>
      <c r="R656" s="1">
        <v>45509</v>
      </c>
      <c r="S656" t="s">
        <v>2923</v>
      </c>
    </row>
    <row r="657" spans="1:19" x14ac:dyDescent="0.3">
      <c r="A657" s="1">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1">
        <v>45306</v>
      </c>
      <c r="R657" s="1">
        <v>45308</v>
      </c>
      <c r="S657" t="s">
        <v>2923</v>
      </c>
    </row>
    <row r="658" spans="1:19" x14ac:dyDescent="0.3">
      <c r="A658" s="1">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1">
        <v>45295</v>
      </c>
      <c r="R658" s="1">
        <v>45305</v>
      </c>
      <c r="S658" t="s">
        <v>2926</v>
      </c>
    </row>
    <row r="659" spans="1:19" x14ac:dyDescent="0.3">
      <c r="A659" s="1">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1">
        <v>44966</v>
      </c>
      <c r="R659" s="1">
        <v>44976</v>
      </c>
      <c r="S659" t="s">
        <v>2922</v>
      </c>
    </row>
    <row r="660" spans="1:19" x14ac:dyDescent="0.3">
      <c r="A660" s="1">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1">
        <v>45463</v>
      </c>
      <c r="R660" s="1">
        <v>45467</v>
      </c>
      <c r="S660" t="s">
        <v>2924</v>
      </c>
    </row>
    <row r="661" spans="1:19" x14ac:dyDescent="0.3">
      <c r="A661" s="1">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1">
        <v>44978</v>
      </c>
      <c r="R661" s="1">
        <v>44988</v>
      </c>
      <c r="S661" t="s">
        <v>2925</v>
      </c>
    </row>
    <row r="662" spans="1:19" x14ac:dyDescent="0.3">
      <c r="A662" s="1">
        <v>45154</v>
      </c>
      <c r="B662" t="s">
        <v>22</v>
      </c>
      <c r="C662" t="s">
        <v>26</v>
      </c>
      <c r="D662">
        <v>8</v>
      </c>
      <c r="E662">
        <v>355.15</v>
      </c>
      <c r="F662" t="s">
        <v>31</v>
      </c>
      <c r="G662" t="s">
        <v>36</v>
      </c>
      <c r="H662">
        <v>0.1</v>
      </c>
      <c r="I662" t="s">
        <v>40</v>
      </c>
      <c r="J662">
        <v>2557.08</v>
      </c>
      <c r="K662" t="s">
        <v>43</v>
      </c>
      <c r="M662">
        <v>1</v>
      </c>
      <c r="N662" t="s">
        <v>711</v>
      </c>
      <c r="O662" t="s">
        <v>2184</v>
      </c>
      <c r="P662">
        <v>38.590000000000003</v>
      </c>
      <c r="Q662" s="1">
        <v>45154</v>
      </c>
      <c r="R662" s="1">
        <v>45162</v>
      </c>
      <c r="S662" t="s">
        <v>2925</v>
      </c>
    </row>
    <row r="663" spans="1:19" x14ac:dyDescent="0.3">
      <c r="A663" s="1">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1">
        <v>45233</v>
      </c>
      <c r="R663" s="1">
        <v>45241</v>
      </c>
      <c r="S663" t="s">
        <v>2926</v>
      </c>
    </row>
    <row r="664" spans="1:19" x14ac:dyDescent="0.3">
      <c r="A664" s="1">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1">
        <v>45408</v>
      </c>
      <c r="R664" s="1">
        <v>45413</v>
      </c>
      <c r="S664" t="s">
        <v>2923</v>
      </c>
    </row>
    <row r="665" spans="1:19" x14ac:dyDescent="0.3">
      <c r="A665" s="1">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1">
        <v>45573</v>
      </c>
      <c r="R665" s="1">
        <v>45582</v>
      </c>
      <c r="S665" t="s">
        <v>2923</v>
      </c>
    </row>
    <row r="666" spans="1:19" x14ac:dyDescent="0.3">
      <c r="A666" s="1">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1">
        <v>44935</v>
      </c>
      <c r="R666" s="1">
        <v>44943</v>
      </c>
      <c r="S666" t="s">
        <v>2923</v>
      </c>
    </row>
    <row r="667" spans="1:19" x14ac:dyDescent="0.3">
      <c r="A667" s="1">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1">
        <v>45285</v>
      </c>
      <c r="R667" s="1">
        <v>45293</v>
      </c>
      <c r="S667" t="s">
        <v>2924</v>
      </c>
    </row>
    <row r="668" spans="1:19" x14ac:dyDescent="0.3">
      <c r="A668" s="1">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1">
        <v>45423</v>
      </c>
      <c r="R668" s="1">
        <v>45432</v>
      </c>
      <c r="S668" t="s">
        <v>2925</v>
      </c>
    </row>
    <row r="669" spans="1:19" x14ac:dyDescent="0.3">
      <c r="A669" s="1">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1">
        <v>45253</v>
      </c>
      <c r="R669" s="1">
        <v>45256</v>
      </c>
      <c r="S669" t="s">
        <v>2926</v>
      </c>
    </row>
    <row r="670" spans="1:19" x14ac:dyDescent="0.3">
      <c r="A670" s="1">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1">
        <v>45270</v>
      </c>
      <c r="R670" s="1">
        <v>45272</v>
      </c>
      <c r="S670" t="s">
        <v>2925</v>
      </c>
    </row>
    <row r="671" spans="1:19" x14ac:dyDescent="0.3">
      <c r="A671" s="1">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1">
        <v>45325</v>
      </c>
      <c r="R671" s="1">
        <v>45327</v>
      </c>
      <c r="S671" t="s">
        <v>2924</v>
      </c>
    </row>
    <row r="672" spans="1:19" x14ac:dyDescent="0.3">
      <c r="A672" s="1">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1">
        <v>45620</v>
      </c>
      <c r="R672" s="1">
        <v>45630</v>
      </c>
      <c r="S672" t="s">
        <v>2925</v>
      </c>
    </row>
    <row r="673" spans="1:19" x14ac:dyDescent="0.3">
      <c r="A673" s="1">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1">
        <v>45357</v>
      </c>
      <c r="R673" s="1">
        <v>45362</v>
      </c>
      <c r="S673" t="s">
        <v>2926</v>
      </c>
    </row>
    <row r="674" spans="1:19" x14ac:dyDescent="0.3">
      <c r="A674" s="1">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1">
        <v>45689</v>
      </c>
      <c r="R674" s="1">
        <v>45699</v>
      </c>
      <c r="S674" t="s">
        <v>2923</v>
      </c>
    </row>
    <row r="675" spans="1:19" x14ac:dyDescent="0.3">
      <c r="A675" s="1">
        <v>45447</v>
      </c>
      <c r="B675" t="s">
        <v>22</v>
      </c>
      <c r="C675" t="s">
        <v>24</v>
      </c>
      <c r="D675">
        <v>7</v>
      </c>
      <c r="E675">
        <v>225.86</v>
      </c>
      <c r="F675" t="s">
        <v>31</v>
      </c>
      <c r="G675" t="s">
        <v>35</v>
      </c>
      <c r="H675">
        <v>0</v>
      </c>
      <c r="I675" t="s">
        <v>40</v>
      </c>
      <c r="J675">
        <v>1581.02</v>
      </c>
      <c r="K675" t="s">
        <v>46</v>
      </c>
      <c r="M675">
        <v>0</v>
      </c>
      <c r="N675" t="s">
        <v>724</v>
      </c>
      <c r="O675" t="s">
        <v>2197</v>
      </c>
      <c r="P675">
        <v>24.48</v>
      </c>
      <c r="Q675" s="1">
        <v>45447</v>
      </c>
      <c r="R675" s="1">
        <v>45452</v>
      </c>
      <c r="S675" t="s">
        <v>2925</v>
      </c>
    </row>
    <row r="676" spans="1:19" x14ac:dyDescent="0.3">
      <c r="A676" s="1">
        <v>45144</v>
      </c>
      <c r="B676" t="s">
        <v>22</v>
      </c>
      <c r="C676" t="s">
        <v>26</v>
      </c>
      <c r="D676">
        <v>8</v>
      </c>
      <c r="E676">
        <v>548.02</v>
      </c>
      <c r="F676" t="s">
        <v>34</v>
      </c>
      <c r="G676" t="s">
        <v>36</v>
      </c>
      <c r="H676">
        <v>0.05</v>
      </c>
      <c r="I676" t="s">
        <v>37</v>
      </c>
      <c r="J676">
        <v>4164.9519999999993</v>
      </c>
      <c r="K676" t="s">
        <v>43</v>
      </c>
      <c r="M676">
        <v>0</v>
      </c>
      <c r="N676" t="s">
        <v>725</v>
      </c>
      <c r="O676" t="s">
        <v>2198</v>
      </c>
      <c r="P676">
        <v>33.4</v>
      </c>
      <c r="Q676" s="1">
        <v>45144</v>
      </c>
      <c r="R676" s="1">
        <v>45151</v>
      </c>
      <c r="S676" t="s">
        <v>2925</v>
      </c>
    </row>
    <row r="677" spans="1:19" x14ac:dyDescent="0.3">
      <c r="A677" s="1">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1">
        <v>45107</v>
      </c>
      <c r="R677" s="1">
        <v>45112</v>
      </c>
      <c r="S677" t="s">
        <v>2926</v>
      </c>
    </row>
    <row r="678" spans="1:19" x14ac:dyDescent="0.3">
      <c r="A678" s="1">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1">
        <v>44972</v>
      </c>
      <c r="R678" s="1">
        <v>44976</v>
      </c>
      <c r="S678" t="s">
        <v>2926</v>
      </c>
    </row>
    <row r="679" spans="1:19" x14ac:dyDescent="0.3">
      <c r="A679" s="1">
        <v>45314</v>
      </c>
      <c r="B679" t="s">
        <v>21</v>
      </c>
      <c r="C679" t="s">
        <v>30</v>
      </c>
      <c r="D679">
        <v>8</v>
      </c>
      <c r="E679">
        <v>50.72</v>
      </c>
      <c r="F679" t="s">
        <v>32</v>
      </c>
      <c r="G679" t="s">
        <v>35</v>
      </c>
      <c r="H679">
        <v>0.05</v>
      </c>
      <c r="I679" t="s">
        <v>40</v>
      </c>
      <c r="J679">
        <v>385.47199999999998</v>
      </c>
      <c r="K679" t="s">
        <v>46</v>
      </c>
      <c r="M679">
        <v>0</v>
      </c>
      <c r="N679" t="s">
        <v>728</v>
      </c>
      <c r="O679" t="s">
        <v>2201</v>
      </c>
      <c r="P679">
        <v>12.35</v>
      </c>
      <c r="Q679" s="1">
        <v>45314</v>
      </c>
      <c r="R679" s="1">
        <v>45321</v>
      </c>
      <c r="S679" t="s">
        <v>2924</v>
      </c>
    </row>
    <row r="680" spans="1:19" x14ac:dyDescent="0.3">
      <c r="A680" s="1">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1">
        <v>45596</v>
      </c>
      <c r="R680" s="1">
        <v>45602</v>
      </c>
      <c r="S680" t="s">
        <v>2924</v>
      </c>
    </row>
    <row r="681" spans="1:19" x14ac:dyDescent="0.3">
      <c r="A681" s="1">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1">
        <v>45279</v>
      </c>
      <c r="R681" s="1">
        <v>45281</v>
      </c>
      <c r="S681" t="s">
        <v>2925</v>
      </c>
    </row>
    <row r="682" spans="1:19" x14ac:dyDescent="0.3">
      <c r="A682" s="1">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1">
        <v>45111</v>
      </c>
      <c r="R682" s="1">
        <v>45113</v>
      </c>
      <c r="S682" t="s">
        <v>2923</v>
      </c>
    </row>
    <row r="683" spans="1:19" x14ac:dyDescent="0.3">
      <c r="A683" s="1">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1">
        <v>45428</v>
      </c>
      <c r="R683" s="1">
        <v>45430</v>
      </c>
      <c r="S683" t="s">
        <v>2922</v>
      </c>
    </row>
    <row r="684" spans="1:19" x14ac:dyDescent="0.3">
      <c r="A684" s="1">
        <v>45185</v>
      </c>
      <c r="B684" t="s">
        <v>21</v>
      </c>
      <c r="C684" t="s">
        <v>28</v>
      </c>
      <c r="D684">
        <v>8</v>
      </c>
      <c r="E684">
        <v>204.84</v>
      </c>
      <c r="F684" t="s">
        <v>33</v>
      </c>
      <c r="G684" t="s">
        <v>36</v>
      </c>
      <c r="H684">
        <v>0</v>
      </c>
      <c r="I684" t="s">
        <v>42</v>
      </c>
      <c r="J684">
        <v>1638.72</v>
      </c>
      <c r="K684" t="s">
        <v>47</v>
      </c>
      <c r="M684">
        <v>0</v>
      </c>
      <c r="N684" t="s">
        <v>733</v>
      </c>
      <c r="O684" t="s">
        <v>2205</v>
      </c>
      <c r="P684">
        <v>43.4</v>
      </c>
      <c r="Q684" s="1">
        <v>45185</v>
      </c>
      <c r="R684" s="1">
        <v>45190</v>
      </c>
      <c r="S684" t="s">
        <v>2924</v>
      </c>
    </row>
    <row r="685" spans="1:19" x14ac:dyDescent="0.3">
      <c r="A685" s="1">
        <v>45618</v>
      </c>
      <c r="B685" t="s">
        <v>19</v>
      </c>
      <c r="C685" t="s">
        <v>27</v>
      </c>
      <c r="D685">
        <v>3</v>
      </c>
      <c r="E685">
        <v>536.97</v>
      </c>
      <c r="F685" t="s">
        <v>33</v>
      </c>
      <c r="G685" t="s">
        <v>35</v>
      </c>
      <c r="H685">
        <v>0</v>
      </c>
      <c r="I685" t="s">
        <v>40</v>
      </c>
      <c r="J685">
        <v>1610.91</v>
      </c>
      <c r="K685" t="s">
        <v>46</v>
      </c>
      <c r="M685">
        <v>0</v>
      </c>
      <c r="N685" t="s">
        <v>734</v>
      </c>
      <c r="O685" t="s">
        <v>2206</v>
      </c>
      <c r="P685">
        <v>13.86</v>
      </c>
      <c r="Q685" s="1">
        <v>45618</v>
      </c>
      <c r="R685" s="1">
        <v>45627</v>
      </c>
      <c r="S685" t="s">
        <v>2922</v>
      </c>
    </row>
    <row r="686" spans="1:19" x14ac:dyDescent="0.3">
      <c r="A686" s="1">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1">
        <v>45395</v>
      </c>
      <c r="R686" s="1">
        <v>45403</v>
      </c>
      <c r="S686" t="s">
        <v>2926</v>
      </c>
    </row>
    <row r="687" spans="1:19" x14ac:dyDescent="0.3">
      <c r="A687" s="1">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1">
        <v>45473</v>
      </c>
      <c r="R687" s="1">
        <v>45479</v>
      </c>
      <c r="S687" t="s">
        <v>2923</v>
      </c>
    </row>
    <row r="688" spans="1:19" x14ac:dyDescent="0.3">
      <c r="A688" s="1">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1">
        <v>45533</v>
      </c>
      <c r="R688" s="1">
        <v>45537</v>
      </c>
      <c r="S688" t="s">
        <v>2924</v>
      </c>
    </row>
    <row r="689" spans="1:19" x14ac:dyDescent="0.3">
      <c r="A689" s="1">
        <v>45286</v>
      </c>
      <c r="B689" t="s">
        <v>22</v>
      </c>
      <c r="C689" t="s">
        <v>26</v>
      </c>
      <c r="D689">
        <v>3</v>
      </c>
      <c r="E689">
        <v>232.13</v>
      </c>
      <c r="F689" t="s">
        <v>31</v>
      </c>
      <c r="G689" t="s">
        <v>36</v>
      </c>
      <c r="H689">
        <v>0.1</v>
      </c>
      <c r="I689" t="s">
        <v>41</v>
      </c>
      <c r="J689">
        <v>626.75099999999998</v>
      </c>
      <c r="K689" t="s">
        <v>47</v>
      </c>
      <c r="M689">
        <v>1</v>
      </c>
      <c r="N689" t="s">
        <v>738</v>
      </c>
      <c r="O689" t="s">
        <v>2210</v>
      </c>
      <c r="P689">
        <v>46.65</v>
      </c>
      <c r="Q689" s="1">
        <v>45286</v>
      </c>
      <c r="R689" s="1">
        <v>45291</v>
      </c>
      <c r="S689" t="s">
        <v>2925</v>
      </c>
    </row>
    <row r="690" spans="1:19" x14ac:dyDescent="0.3">
      <c r="A690" s="1">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1">
        <v>45687</v>
      </c>
      <c r="R690" s="1">
        <v>45694</v>
      </c>
      <c r="S690" t="s">
        <v>2924</v>
      </c>
    </row>
    <row r="691" spans="1:19" x14ac:dyDescent="0.3">
      <c r="A691" s="1">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1">
        <v>45063</v>
      </c>
      <c r="R691" s="1">
        <v>45071</v>
      </c>
      <c r="S691" t="s">
        <v>2923</v>
      </c>
    </row>
    <row r="692" spans="1:19" x14ac:dyDescent="0.3">
      <c r="A692" s="1">
        <v>45318</v>
      </c>
      <c r="B692" t="s">
        <v>22</v>
      </c>
      <c r="C692" t="s">
        <v>26</v>
      </c>
      <c r="D692">
        <v>17</v>
      </c>
      <c r="E692">
        <v>108.48</v>
      </c>
      <c r="F692" t="s">
        <v>32</v>
      </c>
      <c r="G692" t="s">
        <v>35</v>
      </c>
      <c r="H692">
        <v>0.1</v>
      </c>
      <c r="I692" t="s">
        <v>40</v>
      </c>
      <c r="J692">
        <v>1659.7439999999999</v>
      </c>
      <c r="K692" t="s">
        <v>43</v>
      </c>
      <c r="M692">
        <v>1</v>
      </c>
      <c r="N692" t="s">
        <v>741</v>
      </c>
      <c r="O692" t="s">
        <v>2213</v>
      </c>
      <c r="P692">
        <v>48.9</v>
      </c>
      <c r="Q692" s="1">
        <v>45318</v>
      </c>
      <c r="R692" s="1">
        <v>45327</v>
      </c>
      <c r="S692" t="s">
        <v>2925</v>
      </c>
    </row>
    <row r="693" spans="1:19" x14ac:dyDescent="0.3">
      <c r="A693" s="1">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1">
        <v>45803</v>
      </c>
      <c r="R693" s="1">
        <v>45810</v>
      </c>
      <c r="S693" t="s">
        <v>2922</v>
      </c>
    </row>
    <row r="694" spans="1:19" x14ac:dyDescent="0.3">
      <c r="A694" s="1">
        <v>45725</v>
      </c>
      <c r="B694" t="s">
        <v>21</v>
      </c>
      <c r="C694" t="s">
        <v>25</v>
      </c>
      <c r="D694">
        <v>1</v>
      </c>
      <c r="E694">
        <v>506.41</v>
      </c>
      <c r="F694" t="s">
        <v>34</v>
      </c>
      <c r="G694" t="s">
        <v>35</v>
      </c>
      <c r="H694">
        <v>0</v>
      </c>
      <c r="I694" t="s">
        <v>42</v>
      </c>
      <c r="J694">
        <v>506.41</v>
      </c>
      <c r="K694" t="s">
        <v>47</v>
      </c>
      <c r="M694">
        <v>0</v>
      </c>
      <c r="N694" t="s">
        <v>743</v>
      </c>
      <c r="O694" t="s">
        <v>2215</v>
      </c>
      <c r="P694">
        <v>17.899999999999999</v>
      </c>
      <c r="Q694" s="1">
        <v>45725</v>
      </c>
      <c r="R694" s="1">
        <v>45733</v>
      </c>
      <c r="S694" t="s">
        <v>2924</v>
      </c>
    </row>
    <row r="695" spans="1:19" x14ac:dyDescent="0.3">
      <c r="A695" s="1">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1">
        <v>45344</v>
      </c>
      <c r="R695" s="1">
        <v>45354</v>
      </c>
      <c r="S695" t="s">
        <v>2926</v>
      </c>
    </row>
    <row r="696" spans="1:19" x14ac:dyDescent="0.3">
      <c r="A696" s="1">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1">
        <v>45691</v>
      </c>
      <c r="R696" s="1">
        <v>45696</v>
      </c>
      <c r="S696" t="s">
        <v>2922</v>
      </c>
    </row>
    <row r="697" spans="1:19" x14ac:dyDescent="0.3">
      <c r="A697" s="1">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1">
        <v>45300</v>
      </c>
      <c r="R697" s="1">
        <v>45307</v>
      </c>
      <c r="S697" t="s">
        <v>2925</v>
      </c>
    </row>
    <row r="698" spans="1:19" x14ac:dyDescent="0.3">
      <c r="A698" s="1">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1">
        <v>45782</v>
      </c>
      <c r="R698" s="1">
        <v>45791</v>
      </c>
      <c r="S698" t="s">
        <v>2924</v>
      </c>
    </row>
    <row r="699" spans="1:19" x14ac:dyDescent="0.3">
      <c r="A699" s="1">
        <v>45033</v>
      </c>
      <c r="B699" t="s">
        <v>22</v>
      </c>
      <c r="C699" t="s">
        <v>26</v>
      </c>
      <c r="D699">
        <v>5</v>
      </c>
      <c r="E699">
        <v>547.53</v>
      </c>
      <c r="F699" t="s">
        <v>32</v>
      </c>
      <c r="G699" t="s">
        <v>36</v>
      </c>
      <c r="H699">
        <v>0.1</v>
      </c>
      <c r="I699" t="s">
        <v>37</v>
      </c>
      <c r="J699">
        <v>2463.8850000000002</v>
      </c>
      <c r="K699" t="s">
        <v>46</v>
      </c>
      <c r="M699">
        <v>0</v>
      </c>
      <c r="N699" t="s">
        <v>748</v>
      </c>
      <c r="O699" t="s">
        <v>2220</v>
      </c>
      <c r="P699">
        <v>24.68</v>
      </c>
      <c r="Q699" s="1">
        <v>45033</v>
      </c>
      <c r="R699" s="1">
        <v>45037</v>
      </c>
      <c r="S699" t="s">
        <v>2925</v>
      </c>
    </row>
    <row r="700" spans="1:19" x14ac:dyDescent="0.3">
      <c r="A700" s="1">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1">
        <v>45459</v>
      </c>
      <c r="R700" s="1">
        <v>45464</v>
      </c>
      <c r="S700" t="s">
        <v>2923</v>
      </c>
    </row>
    <row r="701" spans="1:19" x14ac:dyDescent="0.3">
      <c r="A701" s="1">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1">
        <v>45597</v>
      </c>
      <c r="R701" s="1">
        <v>45600</v>
      </c>
      <c r="S701" t="s">
        <v>2923</v>
      </c>
    </row>
    <row r="702" spans="1:19" x14ac:dyDescent="0.3">
      <c r="A702" s="1">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1">
        <v>45695</v>
      </c>
      <c r="R702" s="1">
        <v>45698</v>
      </c>
      <c r="S702" t="s">
        <v>2922</v>
      </c>
    </row>
    <row r="703" spans="1:19" x14ac:dyDescent="0.3">
      <c r="A703" s="1">
        <v>45620</v>
      </c>
      <c r="B703" t="s">
        <v>20</v>
      </c>
      <c r="C703" t="s">
        <v>28</v>
      </c>
      <c r="D703">
        <v>12</v>
      </c>
      <c r="E703">
        <v>173.79</v>
      </c>
      <c r="F703" t="s">
        <v>34</v>
      </c>
      <c r="G703" t="s">
        <v>36</v>
      </c>
      <c r="H703">
        <v>0.15</v>
      </c>
      <c r="I703" t="s">
        <v>37</v>
      </c>
      <c r="J703">
        <v>1772.6579999999999</v>
      </c>
      <c r="K703" t="s">
        <v>45</v>
      </c>
      <c r="M703">
        <v>0</v>
      </c>
      <c r="N703" t="s">
        <v>752</v>
      </c>
      <c r="O703" t="s">
        <v>2224</v>
      </c>
      <c r="P703">
        <v>21.23</v>
      </c>
      <c r="Q703" s="1">
        <v>45620</v>
      </c>
      <c r="R703" s="1">
        <v>45630</v>
      </c>
      <c r="S703" t="s">
        <v>2923</v>
      </c>
    </row>
    <row r="704" spans="1:19" x14ac:dyDescent="0.3">
      <c r="A704" s="1">
        <v>45405</v>
      </c>
      <c r="B704" t="s">
        <v>22</v>
      </c>
      <c r="C704" t="s">
        <v>28</v>
      </c>
      <c r="D704">
        <v>13</v>
      </c>
      <c r="E704">
        <v>439.75</v>
      </c>
      <c r="F704" t="s">
        <v>32</v>
      </c>
      <c r="G704" t="s">
        <v>35</v>
      </c>
      <c r="H704">
        <v>0</v>
      </c>
      <c r="I704" t="s">
        <v>39</v>
      </c>
      <c r="J704">
        <v>5716.75</v>
      </c>
      <c r="K704" t="s">
        <v>43</v>
      </c>
      <c r="M704">
        <v>1</v>
      </c>
      <c r="N704" t="s">
        <v>753</v>
      </c>
      <c r="O704" t="s">
        <v>1848</v>
      </c>
      <c r="P704">
        <v>12.23</v>
      </c>
      <c r="Q704" s="1">
        <v>45405</v>
      </c>
      <c r="R704" s="1">
        <v>45414</v>
      </c>
      <c r="S704" t="s">
        <v>2925</v>
      </c>
    </row>
    <row r="705" spans="1:19" x14ac:dyDescent="0.3">
      <c r="A705" s="1">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1">
        <v>45467</v>
      </c>
      <c r="R705" s="1">
        <v>45470</v>
      </c>
      <c r="S705" t="s">
        <v>2922</v>
      </c>
    </row>
    <row r="706" spans="1:19" x14ac:dyDescent="0.3">
      <c r="A706" s="1">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1">
        <v>45809</v>
      </c>
      <c r="R706" s="1">
        <v>45815</v>
      </c>
      <c r="S706" t="s">
        <v>2926</v>
      </c>
    </row>
    <row r="707" spans="1:19" x14ac:dyDescent="0.3">
      <c r="A707" s="1">
        <v>44997</v>
      </c>
      <c r="B707" t="s">
        <v>23</v>
      </c>
      <c r="C707" t="s">
        <v>29</v>
      </c>
      <c r="D707">
        <v>6</v>
      </c>
      <c r="E707">
        <v>88.7</v>
      </c>
      <c r="F707" t="s">
        <v>31</v>
      </c>
      <c r="G707" t="s">
        <v>35</v>
      </c>
      <c r="H707">
        <v>0</v>
      </c>
      <c r="I707" t="s">
        <v>40</v>
      </c>
      <c r="J707">
        <v>532.20000000000005</v>
      </c>
      <c r="K707" t="s">
        <v>44</v>
      </c>
      <c r="M707">
        <v>0</v>
      </c>
      <c r="N707" t="s">
        <v>756</v>
      </c>
      <c r="O707" t="s">
        <v>2227</v>
      </c>
      <c r="P707">
        <v>16.98</v>
      </c>
      <c r="Q707" s="1">
        <v>44997</v>
      </c>
      <c r="R707" s="1">
        <v>44999</v>
      </c>
      <c r="S707" t="s">
        <v>2926</v>
      </c>
    </row>
    <row r="708" spans="1:19" x14ac:dyDescent="0.3">
      <c r="A708" s="1">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1">
        <v>45607</v>
      </c>
      <c r="R708" s="1">
        <v>45615</v>
      </c>
      <c r="S708" t="s">
        <v>2925</v>
      </c>
    </row>
    <row r="709" spans="1:19" x14ac:dyDescent="0.3">
      <c r="A709" s="1">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1">
        <v>45582</v>
      </c>
      <c r="R709" s="1">
        <v>45591</v>
      </c>
      <c r="S709" t="s">
        <v>2925</v>
      </c>
    </row>
    <row r="710" spans="1:19" x14ac:dyDescent="0.3">
      <c r="A710" s="1">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1">
        <v>45056</v>
      </c>
      <c r="R710" s="1">
        <v>45059</v>
      </c>
      <c r="S710" t="s">
        <v>2922</v>
      </c>
    </row>
    <row r="711" spans="1:19" x14ac:dyDescent="0.3">
      <c r="A711" s="1">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1">
        <v>45136</v>
      </c>
      <c r="R711" s="1">
        <v>45145</v>
      </c>
      <c r="S711" t="s">
        <v>2922</v>
      </c>
    </row>
    <row r="712" spans="1:19" x14ac:dyDescent="0.3">
      <c r="A712" s="1">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1">
        <v>45164</v>
      </c>
      <c r="R712" s="1">
        <v>45167</v>
      </c>
      <c r="S712" t="s">
        <v>2925</v>
      </c>
    </row>
    <row r="713" spans="1:19" x14ac:dyDescent="0.3">
      <c r="A713" s="1">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1">
        <v>45288</v>
      </c>
      <c r="R713" s="1">
        <v>45294</v>
      </c>
      <c r="S713" t="s">
        <v>2922</v>
      </c>
    </row>
    <row r="714" spans="1:19" x14ac:dyDescent="0.3">
      <c r="A714" s="1">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1">
        <v>45726</v>
      </c>
      <c r="R714" s="1">
        <v>45733</v>
      </c>
      <c r="S714" t="s">
        <v>2924</v>
      </c>
    </row>
    <row r="715" spans="1:19" x14ac:dyDescent="0.3">
      <c r="A715" s="1">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1">
        <v>45178</v>
      </c>
      <c r="R715" s="1">
        <v>45183</v>
      </c>
      <c r="S715" t="s">
        <v>2925</v>
      </c>
    </row>
    <row r="716" spans="1:19" x14ac:dyDescent="0.3">
      <c r="A716" s="1">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1">
        <v>45074</v>
      </c>
      <c r="R716" s="1">
        <v>45078</v>
      </c>
      <c r="S716" t="s">
        <v>2924</v>
      </c>
    </row>
    <row r="717" spans="1:19" x14ac:dyDescent="0.3">
      <c r="A717" s="1">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1">
        <v>45798</v>
      </c>
      <c r="R717" s="1">
        <v>45808</v>
      </c>
      <c r="S717" t="s">
        <v>2926</v>
      </c>
    </row>
    <row r="718" spans="1:19" x14ac:dyDescent="0.3">
      <c r="A718" s="1">
        <v>45199</v>
      </c>
      <c r="B718" t="s">
        <v>19</v>
      </c>
      <c r="C718" t="s">
        <v>24</v>
      </c>
      <c r="D718">
        <v>14</v>
      </c>
      <c r="E718">
        <v>243.96</v>
      </c>
      <c r="F718" t="s">
        <v>34</v>
      </c>
      <c r="G718" t="s">
        <v>35</v>
      </c>
      <c r="H718">
        <v>0.05</v>
      </c>
      <c r="I718" t="s">
        <v>41</v>
      </c>
      <c r="J718">
        <v>3244.6680000000001</v>
      </c>
      <c r="K718" t="s">
        <v>43</v>
      </c>
      <c r="M718">
        <v>1</v>
      </c>
      <c r="N718" t="s">
        <v>767</v>
      </c>
      <c r="O718" t="s">
        <v>2238</v>
      </c>
      <c r="P718">
        <v>13.24</v>
      </c>
      <c r="Q718" s="1">
        <v>45199</v>
      </c>
      <c r="R718" s="1">
        <v>45203</v>
      </c>
      <c r="S718" t="s">
        <v>2922</v>
      </c>
    </row>
    <row r="719" spans="1:19" x14ac:dyDescent="0.3">
      <c r="A719" s="1">
        <v>45573</v>
      </c>
      <c r="B719" t="s">
        <v>20</v>
      </c>
      <c r="C719" t="s">
        <v>24</v>
      </c>
      <c r="D719">
        <v>6</v>
      </c>
      <c r="E719">
        <v>48.48</v>
      </c>
      <c r="F719" t="s">
        <v>34</v>
      </c>
      <c r="G719" t="s">
        <v>36</v>
      </c>
      <c r="H719">
        <v>0.1</v>
      </c>
      <c r="I719" t="s">
        <v>41</v>
      </c>
      <c r="J719">
        <v>261.79199999999997</v>
      </c>
      <c r="K719" t="s">
        <v>43</v>
      </c>
      <c r="M719">
        <v>0</v>
      </c>
      <c r="N719" t="s">
        <v>768</v>
      </c>
      <c r="O719" t="s">
        <v>2239</v>
      </c>
      <c r="P719">
        <v>6.11</v>
      </c>
      <c r="Q719" s="1">
        <v>45573</v>
      </c>
      <c r="R719" s="1">
        <v>45578</v>
      </c>
      <c r="S719" t="s">
        <v>2923</v>
      </c>
    </row>
    <row r="720" spans="1:19" x14ac:dyDescent="0.3">
      <c r="A720" s="1">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1">
        <v>45030</v>
      </c>
      <c r="R720" s="1">
        <v>45039</v>
      </c>
      <c r="S720" t="s">
        <v>2922</v>
      </c>
    </row>
    <row r="721" spans="1:19" x14ac:dyDescent="0.3">
      <c r="A721" s="1">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1">
        <v>44990</v>
      </c>
      <c r="R721" s="1">
        <v>44995</v>
      </c>
      <c r="S721" t="s">
        <v>2923</v>
      </c>
    </row>
    <row r="722" spans="1:19" x14ac:dyDescent="0.3">
      <c r="A722" s="1">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1">
        <v>45490</v>
      </c>
      <c r="R722" s="1">
        <v>45493</v>
      </c>
      <c r="S722" t="s">
        <v>2924</v>
      </c>
    </row>
    <row r="723" spans="1:19" x14ac:dyDescent="0.3">
      <c r="A723" s="1">
        <v>45432</v>
      </c>
      <c r="B723" t="s">
        <v>21</v>
      </c>
      <c r="C723" t="s">
        <v>29</v>
      </c>
      <c r="D723">
        <v>16</v>
      </c>
      <c r="E723">
        <v>427.68</v>
      </c>
      <c r="F723" t="s">
        <v>32</v>
      </c>
      <c r="G723" t="s">
        <v>36</v>
      </c>
      <c r="H723">
        <v>0.1</v>
      </c>
      <c r="I723" t="s">
        <v>40</v>
      </c>
      <c r="J723">
        <v>6158.5920000000006</v>
      </c>
      <c r="K723" t="s">
        <v>46</v>
      </c>
      <c r="M723">
        <v>0</v>
      </c>
      <c r="N723" t="s">
        <v>772</v>
      </c>
      <c r="O723" t="s">
        <v>2243</v>
      </c>
      <c r="P723">
        <v>18.72</v>
      </c>
      <c r="Q723" s="1">
        <v>45432</v>
      </c>
      <c r="R723" s="1">
        <v>45441</v>
      </c>
      <c r="S723" t="s">
        <v>2924</v>
      </c>
    </row>
    <row r="724" spans="1:19" x14ac:dyDescent="0.3">
      <c r="A724" s="1">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1">
        <v>45783</v>
      </c>
      <c r="R724" s="1">
        <v>45787</v>
      </c>
      <c r="S724" t="s">
        <v>2924</v>
      </c>
    </row>
    <row r="725" spans="1:19" x14ac:dyDescent="0.3">
      <c r="A725" s="1">
        <v>44941</v>
      </c>
      <c r="B725" t="s">
        <v>21</v>
      </c>
      <c r="C725" t="s">
        <v>26</v>
      </c>
      <c r="D725">
        <v>15</v>
      </c>
      <c r="E725">
        <v>185</v>
      </c>
      <c r="F725" t="s">
        <v>31</v>
      </c>
      <c r="G725" t="s">
        <v>35</v>
      </c>
      <c r="H725">
        <v>0</v>
      </c>
      <c r="I725" t="s">
        <v>38</v>
      </c>
      <c r="J725">
        <v>2775</v>
      </c>
      <c r="K725" t="s">
        <v>47</v>
      </c>
      <c r="L725" t="s">
        <v>48</v>
      </c>
      <c r="M725">
        <v>0</v>
      </c>
      <c r="N725" t="s">
        <v>774</v>
      </c>
      <c r="O725" t="s">
        <v>2245</v>
      </c>
      <c r="P725">
        <v>29.31</v>
      </c>
      <c r="Q725" s="1">
        <v>44941</v>
      </c>
      <c r="R725" s="1">
        <v>44943</v>
      </c>
      <c r="S725" t="s">
        <v>2924</v>
      </c>
    </row>
    <row r="726" spans="1:19" x14ac:dyDescent="0.3">
      <c r="A726" s="1">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1">
        <v>45300</v>
      </c>
      <c r="R726" s="1">
        <v>45303</v>
      </c>
      <c r="S726" t="s">
        <v>2925</v>
      </c>
    </row>
    <row r="727" spans="1:19" x14ac:dyDescent="0.3">
      <c r="A727" s="1">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1">
        <v>45119</v>
      </c>
      <c r="R727" s="1">
        <v>45128</v>
      </c>
      <c r="S727" t="s">
        <v>2923</v>
      </c>
    </row>
    <row r="728" spans="1:19" x14ac:dyDescent="0.3">
      <c r="A728" s="1">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1">
        <v>45829</v>
      </c>
      <c r="R728" s="1">
        <v>45834</v>
      </c>
      <c r="S728" t="s">
        <v>2922</v>
      </c>
    </row>
    <row r="729" spans="1:19" x14ac:dyDescent="0.3">
      <c r="A729" s="1">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1">
        <v>45655</v>
      </c>
      <c r="R729" s="1">
        <v>45659</v>
      </c>
      <c r="S729" t="s">
        <v>2924</v>
      </c>
    </row>
    <row r="730" spans="1:19" x14ac:dyDescent="0.3">
      <c r="A730" s="1">
        <v>45069</v>
      </c>
      <c r="B730" t="s">
        <v>23</v>
      </c>
      <c r="C730" t="s">
        <v>29</v>
      </c>
      <c r="D730">
        <v>9</v>
      </c>
      <c r="E730">
        <v>438.22</v>
      </c>
      <c r="F730" t="s">
        <v>34</v>
      </c>
      <c r="G730" t="s">
        <v>36</v>
      </c>
      <c r="H730">
        <v>0.05</v>
      </c>
      <c r="I730" t="s">
        <v>42</v>
      </c>
      <c r="J730">
        <v>3746.7809999999999</v>
      </c>
      <c r="K730" t="s">
        <v>47</v>
      </c>
      <c r="M730">
        <v>0</v>
      </c>
      <c r="N730" t="s">
        <v>779</v>
      </c>
      <c r="O730" t="s">
        <v>2250</v>
      </c>
      <c r="P730">
        <v>22.73</v>
      </c>
      <c r="Q730" s="1">
        <v>45069</v>
      </c>
      <c r="R730" s="1">
        <v>45075</v>
      </c>
      <c r="S730" t="s">
        <v>2926</v>
      </c>
    </row>
    <row r="731" spans="1:19" x14ac:dyDescent="0.3">
      <c r="A731" s="1">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1">
        <v>45385</v>
      </c>
      <c r="R731" s="1">
        <v>45391</v>
      </c>
      <c r="S731" t="s">
        <v>2925</v>
      </c>
    </row>
    <row r="732" spans="1:19" x14ac:dyDescent="0.3">
      <c r="A732" s="1">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1">
        <v>45308</v>
      </c>
      <c r="R732" s="1">
        <v>45318</v>
      </c>
      <c r="S732" t="s">
        <v>2922</v>
      </c>
    </row>
    <row r="733" spans="1:19" x14ac:dyDescent="0.3">
      <c r="A733" s="1">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1">
        <v>45752</v>
      </c>
      <c r="R733" s="1">
        <v>45761</v>
      </c>
      <c r="S733" t="s">
        <v>2925</v>
      </c>
    </row>
    <row r="734" spans="1:19" x14ac:dyDescent="0.3">
      <c r="A734" s="1">
        <v>45764</v>
      </c>
      <c r="B734" t="s">
        <v>22</v>
      </c>
      <c r="C734" t="s">
        <v>27</v>
      </c>
      <c r="D734">
        <v>15</v>
      </c>
      <c r="E734">
        <v>242.07</v>
      </c>
      <c r="F734" t="s">
        <v>32</v>
      </c>
      <c r="G734" t="s">
        <v>35</v>
      </c>
      <c r="H734">
        <v>0.15</v>
      </c>
      <c r="I734" t="s">
        <v>42</v>
      </c>
      <c r="J734">
        <v>3086.392499999999</v>
      </c>
      <c r="K734" t="s">
        <v>45</v>
      </c>
      <c r="M734">
        <v>0</v>
      </c>
      <c r="N734" t="s">
        <v>783</v>
      </c>
      <c r="O734" t="s">
        <v>2254</v>
      </c>
      <c r="P734">
        <v>19.18</v>
      </c>
      <c r="Q734" s="1">
        <v>45764</v>
      </c>
      <c r="R734" s="1">
        <v>45770</v>
      </c>
      <c r="S734" t="s">
        <v>2925</v>
      </c>
    </row>
    <row r="735" spans="1:19" x14ac:dyDescent="0.3">
      <c r="A735" s="1">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1">
        <v>45577</v>
      </c>
      <c r="R735" s="1">
        <v>45580</v>
      </c>
      <c r="S735" t="s">
        <v>2925</v>
      </c>
    </row>
    <row r="736" spans="1:19" x14ac:dyDescent="0.3">
      <c r="A736" s="1">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1">
        <v>45500</v>
      </c>
      <c r="R736" s="1">
        <v>45505</v>
      </c>
      <c r="S736" t="s">
        <v>2925</v>
      </c>
    </row>
    <row r="737" spans="1:19" x14ac:dyDescent="0.3">
      <c r="A737" s="1">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1">
        <v>45667</v>
      </c>
      <c r="R737" s="1">
        <v>45675</v>
      </c>
      <c r="S737" t="s">
        <v>2926</v>
      </c>
    </row>
    <row r="738" spans="1:19" x14ac:dyDescent="0.3">
      <c r="A738" s="1">
        <v>45498</v>
      </c>
      <c r="B738" t="s">
        <v>20</v>
      </c>
      <c r="C738" t="s">
        <v>27</v>
      </c>
      <c r="D738">
        <v>12</v>
      </c>
      <c r="E738">
        <v>61.85</v>
      </c>
      <c r="F738" t="s">
        <v>34</v>
      </c>
      <c r="G738" t="s">
        <v>35</v>
      </c>
      <c r="H738">
        <v>0.05</v>
      </c>
      <c r="I738" t="s">
        <v>38</v>
      </c>
      <c r="J738">
        <v>705.09</v>
      </c>
      <c r="K738" t="s">
        <v>45</v>
      </c>
      <c r="M738">
        <v>1</v>
      </c>
      <c r="N738" t="s">
        <v>787</v>
      </c>
      <c r="O738" t="s">
        <v>2258</v>
      </c>
      <c r="P738">
        <v>24.34</v>
      </c>
      <c r="Q738" s="1">
        <v>45498</v>
      </c>
      <c r="R738" s="1">
        <v>45504</v>
      </c>
      <c r="S738" t="s">
        <v>2923</v>
      </c>
    </row>
    <row r="739" spans="1:19" x14ac:dyDescent="0.3">
      <c r="A739" s="1">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1">
        <v>45434</v>
      </c>
      <c r="R739" s="1">
        <v>45437</v>
      </c>
      <c r="S739" t="s">
        <v>2926</v>
      </c>
    </row>
    <row r="740" spans="1:19" x14ac:dyDescent="0.3">
      <c r="A740" s="1">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1">
        <v>45514</v>
      </c>
      <c r="R740" s="1">
        <v>45524</v>
      </c>
      <c r="S740" t="s">
        <v>2925</v>
      </c>
    </row>
    <row r="741" spans="1:19" x14ac:dyDescent="0.3">
      <c r="A741" s="1">
        <v>45043</v>
      </c>
      <c r="B741" t="s">
        <v>23</v>
      </c>
      <c r="C741" t="s">
        <v>29</v>
      </c>
      <c r="D741">
        <v>2</v>
      </c>
      <c r="E741">
        <v>107.32</v>
      </c>
      <c r="F741" t="s">
        <v>31</v>
      </c>
      <c r="G741" t="s">
        <v>36</v>
      </c>
      <c r="H741">
        <v>0.05</v>
      </c>
      <c r="I741" t="s">
        <v>38</v>
      </c>
      <c r="J741">
        <v>203.90799999999999</v>
      </c>
      <c r="K741" t="s">
        <v>45</v>
      </c>
      <c r="M741">
        <v>0</v>
      </c>
      <c r="N741" t="s">
        <v>790</v>
      </c>
      <c r="O741" t="s">
        <v>2261</v>
      </c>
      <c r="P741">
        <v>47.33</v>
      </c>
      <c r="Q741" s="1">
        <v>45043</v>
      </c>
      <c r="R741" s="1">
        <v>45045</v>
      </c>
      <c r="S741" t="s">
        <v>2926</v>
      </c>
    </row>
    <row r="742" spans="1:19" x14ac:dyDescent="0.3">
      <c r="A742" s="1">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1">
        <v>45098</v>
      </c>
      <c r="R742" s="1">
        <v>45102</v>
      </c>
      <c r="S742" t="s">
        <v>2923</v>
      </c>
    </row>
    <row r="743" spans="1:19" x14ac:dyDescent="0.3">
      <c r="A743" s="1">
        <v>45576</v>
      </c>
      <c r="B743" t="s">
        <v>23</v>
      </c>
      <c r="C743" t="s">
        <v>30</v>
      </c>
      <c r="D743">
        <v>17</v>
      </c>
      <c r="E743">
        <v>549.78</v>
      </c>
      <c r="F743" t="s">
        <v>31</v>
      </c>
      <c r="G743" t="s">
        <v>35</v>
      </c>
      <c r="H743">
        <v>0.05</v>
      </c>
      <c r="I743" t="s">
        <v>38</v>
      </c>
      <c r="J743">
        <v>8878.9470000000001</v>
      </c>
      <c r="K743" t="s">
        <v>45</v>
      </c>
      <c r="M743">
        <v>1</v>
      </c>
      <c r="N743" t="s">
        <v>792</v>
      </c>
      <c r="O743" t="s">
        <v>2262</v>
      </c>
      <c r="P743">
        <v>44.42</v>
      </c>
      <c r="Q743" s="1">
        <v>45576</v>
      </c>
      <c r="R743" s="1">
        <v>45579</v>
      </c>
      <c r="S743" t="s">
        <v>2926</v>
      </c>
    </row>
    <row r="744" spans="1:19" x14ac:dyDescent="0.3">
      <c r="A744" s="1">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1">
        <v>45683</v>
      </c>
      <c r="R744" s="1">
        <v>45687</v>
      </c>
      <c r="S744" t="s">
        <v>2924</v>
      </c>
    </row>
    <row r="745" spans="1:19" x14ac:dyDescent="0.3">
      <c r="A745" s="1">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1">
        <v>45461</v>
      </c>
      <c r="R745" s="1">
        <v>45469</v>
      </c>
      <c r="S745" t="s">
        <v>2923</v>
      </c>
    </row>
    <row r="746" spans="1:19" x14ac:dyDescent="0.3">
      <c r="A746" s="1">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1">
        <v>45826</v>
      </c>
      <c r="R746" s="1">
        <v>45832</v>
      </c>
      <c r="S746" t="s">
        <v>2922</v>
      </c>
    </row>
    <row r="747" spans="1:19" x14ac:dyDescent="0.3">
      <c r="A747" s="1">
        <v>45594</v>
      </c>
      <c r="B747" t="s">
        <v>20</v>
      </c>
      <c r="C747" t="s">
        <v>24</v>
      </c>
      <c r="D747">
        <v>2</v>
      </c>
      <c r="E747">
        <v>267.36</v>
      </c>
      <c r="F747" t="s">
        <v>31</v>
      </c>
      <c r="G747" t="s">
        <v>35</v>
      </c>
      <c r="H747">
        <v>0.05</v>
      </c>
      <c r="I747" t="s">
        <v>39</v>
      </c>
      <c r="J747">
        <v>507.98399999999998</v>
      </c>
      <c r="K747" t="s">
        <v>43</v>
      </c>
      <c r="M747">
        <v>0</v>
      </c>
      <c r="N747" t="s">
        <v>796</v>
      </c>
      <c r="O747" t="s">
        <v>2266</v>
      </c>
      <c r="P747">
        <v>21.36</v>
      </c>
      <c r="Q747" s="1">
        <v>45594</v>
      </c>
      <c r="R747" s="1">
        <v>45603</v>
      </c>
      <c r="S747" t="s">
        <v>2923</v>
      </c>
    </row>
    <row r="748" spans="1:19" x14ac:dyDescent="0.3">
      <c r="A748" s="1">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1">
        <v>45755</v>
      </c>
      <c r="R748" s="1">
        <v>45761</v>
      </c>
      <c r="S748" t="s">
        <v>2925</v>
      </c>
    </row>
    <row r="749" spans="1:19" x14ac:dyDescent="0.3">
      <c r="A749" s="1">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1">
        <v>44957</v>
      </c>
      <c r="R749" s="1">
        <v>44962</v>
      </c>
      <c r="S749" t="s">
        <v>2925</v>
      </c>
    </row>
    <row r="750" spans="1:19" x14ac:dyDescent="0.3">
      <c r="A750" s="1">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1">
        <v>45366</v>
      </c>
      <c r="R750" s="1">
        <v>45371</v>
      </c>
      <c r="S750" t="s">
        <v>2926</v>
      </c>
    </row>
    <row r="751" spans="1:19" x14ac:dyDescent="0.3">
      <c r="A751" s="1">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1">
        <v>45100</v>
      </c>
      <c r="R751" s="1">
        <v>45104</v>
      </c>
      <c r="S751" t="s">
        <v>2924</v>
      </c>
    </row>
    <row r="752" spans="1:19" x14ac:dyDescent="0.3">
      <c r="A752" s="1">
        <v>45457</v>
      </c>
      <c r="B752" t="s">
        <v>21</v>
      </c>
      <c r="C752" t="s">
        <v>28</v>
      </c>
      <c r="D752">
        <v>19</v>
      </c>
      <c r="E752">
        <v>596.03</v>
      </c>
      <c r="F752" t="s">
        <v>33</v>
      </c>
      <c r="G752" t="s">
        <v>36</v>
      </c>
      <c r="H752">
        <v>0.15</v>
      </c>
      <c r="I752" t="s">
        <v>37</v>
      </c>
      <c r="J752">
        <v>9625.8845000000001</v>
      </c>
      <c r="K752" t="s">
        <v>46</v>
      </c>
      <c r="M752">
        <v>0</v>
      </c>
      <c r="N752" t="s">
        <v>801</v>
      </c>
      <c r="O752" t="s">
        <v>2270</v>
      </c>
      <c r="P752">
        <v>31.95</v>
      </c>
      <c r="Q752" s="1">
        <v>45457</v>
      </c>
      <c r="R752" s="1">
        <v>45466</v>
      </c>
      <c r="S752" t="s">
        <v>2924</v>
      </c>
    </row>
    <row r="753" spans="1:19" x14ac:dyDescent="0.3">
      <c r="A753" s="1">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1">
        <v>45260</v>
      </c>
      <c r="R753" s="1">
        <v>45269</v>
      </c>
      <c r="S753" t="s">
        <v>2926</v>
      </c>
    </row>
    <row r="754" spans="1:19" x14ac:dyDescent="0.3">
      <c r="A754" s="1">
        <v>45403</v>
      </c>
      <c r="B754" t="s">
        <v>21</v>
      </c>
      <c r="C754" t="s">
        <v>24</v>
      </c>
      <c r="D754">
        <v>10</v>
      </c>
      <c r="E754">
        <v>400.95</v>
      </c>
      <c r="F754" t="s">
        <v>33</v>
      </c>
      <c r="G754" t="s">
        <v>36</v>
      </c>
      <c r="H754">
        <v>0.05</v>
      </c>
      <c r="I754" t="s">
        <v>40</v>
      </c>
      <c r="J754">
        <v>3809.0250000000001</v>
      </c>
      <c r="K754" t="s">
        <v>43</v>
      </c>
      <c r="M754">
        <v>0</v>
      </c>
      <c r="N754" t="s">
        <v>803</v>
      </c>
      <c r="O754" t="s">
        <v>2272</v>
      </c>
      <c r="P754">
        <v>17.46</v>
      </c>
      <c r="Q754" s="1">
        <v>45403</v>
      </c>
      <c r="R754" s="1">
        <v>45412</v>
      </c>
      <c r="S754" t="s">
        <v>2924</v>
      </c>
    </row>
    <row r="755" spans="1:19" x14ac:dyDescent="0.3">
      <c r="A755" s="1">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1">
        <v>45144</v>
      </c>
      <c r="R755" s="1">
        <v>45150</v>
      </c>
      <c r="S755" t="s">
        <v>2922</v>
      </c>
    </row>
    <row r="756" spans="1:19" x14ac:dyDescent="0.3">
      <c r="A756" s="1">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1">
        <v>45464</v>
      </c>
      <c r="R756" s="1">
        <v>45470</v>
      </c>
      <c r="S756" t="s">
        <v>2926</v>
      </c>
    </row>
    <row r="757" spans="1:19" x14ac:dyDescent="0.3">
      <c r="A757" s="1">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1">
        <v>45732</v>
      </c>
      <c r="R757" s="1">
        <v>45740</v>
      </c>
      <c r="S757" t="s">
        <v>2924</v>
      </c>
    </row>
    <row r="758" spans="1:19" x14ac:dyDescent="0.3">
      <c r="A758" s="1">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1">
        <v>45402</v>
      </c>
      <c r="R758" s="1">
        <v>45407</v>
      </c>
      <c r="S758" t="s">
        <v>2926</v>
      </c>
    </row>
    <row r="759" spans="1:19" x14ac:dyDescent="0.3">
      <c r="A759" s="1">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1">
        <v>45646</v>
      </c>
      <c r="R759" s="1">
        <v>45655</v>
      </c>
      <c r="S759" t="s">
        <v>2922</v>
      </c>
    </row>
    <row r="760" spans="1:19" x14ac:dyDescent="0.3">
      <c r="A760" s="1">
        <v>45160</v>
      </c>
      <c r="B760" t="s">
        <v>21</v>
      </c>
      <c r="C760" t="s">
        <v>30</v>
      </c>
      <c r="D760">
        <v>8</v>
      </c>
      <c r="E760">
        <v>343.53</v>
      </c>
      <c r="F760" t="s">
        <v>32</v>
      </c>
      <c r="G760" t="s">
        <v>35</v>
      </c>
      <c r="H760">
        <v>0</v>
      </c>
      <c r="I760" t="s">
        <v>39</v>
      </c>
      <c r="J760">
        <v>2748.24</v>
      </c>
      <c r="K760" t="s">
        <v>47</v>
      </c>
      <c r="M760">
        <v>0</v>
      </c>
      <c r="N760" t="s">
        <v>809</v>
      </c>
      <c r="O760" t="s">
        <v>2278</v>
      </c>
      <c r="P760">
        <v>16.100000000000001</v>
      </c>
      <c r="Q760" s="1">
        <v>45160</v>
      </c>
      <c r="R760" s="1">
        <v>45170</v>
      </c>
      <c r="S760" t="s">
        <v>2924</v>
      </c>
    </row>
    <row r="761" spans="1:19" x14ac:dyDescent="0.3">
      <c r="A761" s="1">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1">
        <v>44989</v>
      </c>
      <c r="R761" s="1">
        <v>44998</v>
      </c>
      <c r="S761" t="s">
        <v>2924</v>
      </c>
    </row>
    <row r="762" spans="1:19" x14ac:dyDescent="0.3">
      <c r="A762" s="1">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1">
        <v>45467</v>
      </c>
      <c r="R762" s="1">
        <v>45474</v>
      </c>
      <c r="S762" t="s">
        <v>2924</v>
      </c>
    </row>
    <row r="763" spans="1:19" x14ac:dyDescent="0.3">
      <c r="A763" s="1">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1">
        <v>45635</v>
      </c>
      <c r="R763" s="1">
        <v>45639</v>
      </c>
      <c r="S763" t="s">
        <v>2922</v>
      </c>
    </row>
    <row r="764" spans="1:19" x14ac:dyDescent="0.3">
      <c r="A764" s="1">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1">
        <v>45477</v>
      </c>
      <c r="R764" s="1">
        <v>45480</v>
      </c>
      <c r="S764" t="s">
        <v>2926</v>
      </c>
    </row>
    <row r="765" spans="1:19" x14ac:dyDescent="0.3">
      <c r="A765" s="1">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1">
        <v>45720</v>
      </c>
      <c r="R765" s="1">
        <v>45722</v>
      </c>
      <c r="S765" t="s">
        <v>2922</v>
      </c>
    </row>
    <row r="766" spans="1:19" x14ac:dyDescent="0.3">
      <c r="A766" s="1">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1">
        <v>45313</v>
      </c>
      <c r="R766" s="1">
        <v>45320</v>
      </c>
      <c r="S766" t="s">
        <v>2922</v>
      </c>
    </row>
    <row r="767" spans="1:19" x14ac:dyDescent="0.3">
      <c r="A767" s="1">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1">
        <v>45728</v>
      </c>
      <c r="R767" s="1">
        <v>45737</v>
      </c>
      <c r="S767" t="s">
        <v>2922</v>
      </c>
    </row>
    <row r="768" spans="1:19" x14ac:dyDescent="0.3">
      <c r="A768" s="1">
        <v>45716</v>
      </c>
      <c r="B768" t="s">
        <v>22</v>
      </c>
      <c r="C768" t="s">
        <v>25</v>
      </c>
      <c r="D768">
        <v>15</v>
      </c>
      <c r="E768">
        <v>23.32</v>
      </c>
      <c r="F768" t="s">
        <v>32</v>
      </c>
      <c r="G768" t="s">
        <v>36</v>
      </c>
      <c r="H768">
        <v>0.05</v>
      </c>
      <c r="I768" t="s">
        <v>40</v>
      </c>
      <c r="J768">
        <v>332.31</v>
      </c>
      <c r="K768" t="s">
        <v>46</v>
      </c>
      <c r="M768">
        <v>0</v>
      </c>
      <c r="N768" t="s">
        <v>817</v>
      </c>
      <c r="O768" t="s">
        <v>2285</v>
      </c>
      <c r="P768">
        <v>25.27</v>
      </c>
      <c r="Q768" s="1">
        <v>45716</v>
      </c>
      <c r="R768" s="1">
        <v>45719</v>
      </c>
      <c r="S768" t="s">
        <v>2925</v>
      </c>
    </row>
    <row r="769" spans="1:19" x14ac:dyDescent="0.3">
      <c r="A769" s="1">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1">
        <v>45435</v>
      </c>
      <c r="R769" s="1">
        <v>45443</v>
      </c>
      <c r="S769" t="s">
        <v>2922</v>
      </c>
    </row>
    <row r="770" spans="1:19" x14ac:dyDescent="0.3">
      <c r="A770" s="1">
        <v>45186</v>
      </c>
      <c r="B770" t="s">
        <v>21</v>
      </c>
      <c r="C770" t="s">
        <v>26</v>
      </c>
      <c r="D770">
        <v>18</v>
      </c>
      <c r="E770">
        <v>132.29</v>
      </c>
      <c r="F770" t="s">
        <v>32</v>
      </c>
      <c r="G770" t="s">
        <v>35</v>
      </c>
      <c r="H770">
        <v>0.05</v>
      </c>
      <c r="I770" t="s">
        <v>41</v>
      </c>
      <c r="J770">
        <v>2262.1590000000001</v>
      </c>
      <c r="K770" t="s">
        <v>45</v>
      </c>
      <c r="M770">
        <v>1</v>
      </c>
      <c r="N770" t="s">
        <v>819</v>
      </c>
      <c r="O770" t="s">
        <v>2287</v>
      </c>
      <c r="P770">
        <v>24.3</v>
      </c>
      <c r="Q770" s="1">
        <v>45186</v>
      </c>
      <c r="R770" s="1">
        <v>45189</v>
      </c>
      <c r="S770" t="s">
        <v>2924</v>
      </c>
    </row>
    <row r="771" spans="1:19" x14ac:dyDescent="0.3">
      <c r="A771" s="1">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1">
        <v>45090</v>
      </c>
      <c r="R771" s="1">
        <v>45095</v>
      </c>
      <c r="S771" t="s">
        <v>2922</v>
      </c>
    </row>
    <row r="772" spans="1:19" x14ac:dyDescent="0.3">
      <c r="A772" s="1">
        <v>45808</v>
      </c>
      <c r="B772" t="s">
        <v>23</v>
      </c>
      <c r="C772" t="s">
        <v>25</v>
      </c>
      <c r="D772">
        <v>16</v>
      </c>
      <c r="E772">
        <v>307</v>
      </c>
      <c r="F772" t="s">
        <v>32</v>
      </c>
      <c r="G772" t="s">
        <v>35</v>
      </c>
      <c r="H772">
        <v>0</v>
      </c>
      <c r="I772" t="s">
        <v>42</v>
      </c>
      <c r="J772">
        <v>4912</v>
      </c>
      <c r="K772" t="s">
        <v>46</v>
      </c>
      <c r="L772" t="s">
        <v>48</v>
      </c>
      <c r="M772">
        <v>0</v>
      </c>
      <c r="N772" t="s">
        <v>821</v>
      </c>
      <c r="O772" t="s">
        <v>2289</v>
      </c>
      <c r="P772">
        <v>11.99</v>
      </c>
      <c r="Q772" s="1">
        <v>45808</v>
      </c>
      <c r="R772" s="1">
        <v>45810</v>
      </c>
      <c r="S772" t="s">
        <v>2926</v>
      </c>
    </row>
    <row r="773" spans="1:19" x14ac:dyDescent="0.3">
      <c r="A773" s="1">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1">
        <v>45210</v>
      </c>
      <c r="R773" s="1">
        <v>45213</v>
      </c>
      <c r="S773" t="s">
        <v>2922</v>
      </c>
    </row>
    <row r="774" spans="1:19" x14ac:dyDescent="0.3">
      <c r="A774" s="1">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1">
        <v>45145</v>
      </c>
      <c r="R774" s="1">
        <v>45152</v>
      </c>
      <c r="S774" t="s">
        <v>2926</v>
      </c>
    </row>
    <row r="775" spans="1:19" x14ac:dyDescent="0.3">
      <c r="A775" s="1">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1">
        <v>45263</v>
      </c>
      <c r="R775" s="1">
        <v>45265</v>
      </c>
      <c r="S775" t="s">
        <v>2924</v>
      </c>
    </row>
    <row r="776" spans="1:19" x14ac:dyDescent="0.3">
      <c r="A776" s="1">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1">
        <v>45505</v>
      </c>
      <c r="R776" s="1">
        <v>45508</v>
      </c>
      <c r="S776" t="s">
        <v>2925</v>
      </c>
    </row>
    <row r="777" spans="1:19" x14ac:dyDescent="0.3">
      <c r="A777" s="1">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1">
        <v>45005</v>
      </c>
      <c r="R777" s="1">
        <v>45012</v>
      </c>
      <c r="S777" t="s">
        <v>2922</v>
      </c>
    </row>
    <row r="778" spans="1:19" x14ac:dyDescent="0.3">
      <c r="A778" s="1">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1">
        <v>45838</v>
      </c>
      <c r="R778" s="1">
        <v>45842</v>
      </c>
      <c r="S778" t="s">
        <v>2925</v>
      </c>
    </row>
    <row r="779" spans="1:19" x14ac:dyDescent="0.3">
      <c r="A779" s="1">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1">
        <v>45693</v>
      </c>
      <c r="R779" s="1">
        <v>45695</v>
      </c>
      <c r="S779" t="s">
        <v>2923</v>
      </c>
    </row>
    <row r="780" spans="1:19" x14ac:dyDescent="0.3">
      <c r="A780" s="1">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1">
        <v>45431</v>
      </c>
      <c r="R780" s="1">
        <v>45441</v>
      </c>
      <c r="S780" t="s">
        <v>2922</v>
      </c>
    </row>
    <row r="781" spans="1:19" x14ac:dyDescent="0.3">
      <c r="A781" s="1">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1">
        <v>44989</v>
      </c>
      <c r="R781" s="1">
        <v>44997</v>
      </c>
      <c r="S781" t="s">
        <v>2924</v>
      </c>
    </row>
    <row r="782" spans="1:19" x14ac:dyDescent="0.3">
      <c r="A782" s="1">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1">
        <v>44948</v>
      </c>
      <c r="R782" s="1">
        <v>44950</v>
      </c>
      <c r="S782" t="s">
        <v>2925</v>
      </c>
    </row>
    <row r="783" spans="1:19" x14ac:dyDescent="0.3">
      <c r="A783" s="1">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1">
        <v>45005</v>
      </c>
      <c r="R783" s="1">
        <v>45010</v>
      </c>
      <c r="S783" t="s">
        <v>2923</v>
      </c>
    </row>
    <row r="784" spans="1:19" x14ac:dyDescent="0.3">
      <c r="A784" s="1">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1">
        <v>45448</v>
      </c>
      <c r="R784" s="1">
        <v>45456</v>
      </c>
      <c r="S784" t="s">
        <v>2926</v>
      </c>
    </row>
    <row r="785" spans="1:19" x14ac:dyDescent="0.3">
      <c r="A785" s="1">
        <v>45482</v>
      </c>
      <c r="B785" t="s">
        <v>19</v>
      </c>
      <c r="C785" t="s">
        <v>30</v>
      </c>
      <c r="D785">
        <v>4</v>
      </c>
      <c r="E785">
        <v>256.83</v>
      </c>
      <c r="F785" t="s">
        <v>32</v>
      </c>
      <c r="G785" t="s">
        <v>35</v>
      </c>
      <c r="H785">
        <v>0.15</v>
      </c>
      <c r="I785" t="s">
        <v>40</v>
      </c>
      <c r="J785">
        <v>873.22199999999987</v>
      </c>
      <c r="K785" t="s">
        <v>47</v>
      </c>
      <c r="M785">
        <v>1</v>
      </c>
      <c r="N785" t="s">
        <v>834</v>
      </c>
      <c r="O785" t="s">
        <v>2301</v>
      </c>
      <c r="P785">
        <v>44.72</v>
      </c>
      <c r="Q785" s="1">
        <v>45482</v>
      </c>
      <c r="R785" s="1">
        <v>45490</v>
      </c>
      <c r="S785" t="s">
        <v>2922</v>
      </c>
    </row>
    <row r="786" spans="1:19" x14ac:dyDescent="0.3">
      <c r="A786" s="1">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1">
        <v>45724</v>
      </c>
      <c r="R786" s="1">
        <v>45729</v>
      </c>
      <c r="S786" t="s">
        <v>2923</v>
      </c>
    </row>
    <row r="787" spans="1:19" x14ac:dyDescent="0.3">
      <c r="A787" s="1">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1">
        <v>45829</v>
      </c>
      <c r="R787" s="1">
        <v>45838</v>
      </c>
      <c r="S787" t="s">
        <v>2923</v>
      </c>
    </row>
    <row r="788" spans="1:19" x14ac:dyDescent="0.3">
      <c r="A788" s="1">
        <v>45836</v>
      </c>
      <c r="B788" t="s">
        <v>21</v>
      </c>
      <c r="C788" t="s">
        <v>29</v>
      </c>
      <c r="D788">
        <v>13</v>
      </c>
      <c r="E788">
        <v>341.38</v>
      </c>
      <c r="F788" t="s">
        <v>33</v>
      </c>
      <c r="G788" t="s">
        <v>36</v>
      </c>
      <c r="H788">
        <v>0.15</v>
      </c>
      <c r="I788" t="s">
        <v>38</v>
      </c>
      <c r="J788">
        <v>3772.2489999999989</v>
      </c>
      <c r="K788" t="s">
        <v>47</v>
      </c>
      <c r="M788">
        <v>0</v>
      </c>
      <c r="N788" t="s">
        <v>837</v>
      </c>
      <c r="O788" t="s">
        <v>2304</v>
      </c>
      <c r="P788">
        <v>18.2</v>
      </c>
      <c r="Q788" s="1">
        <v>45836</v>
      </c>
      <c r="R788" s="1">
        <v>45839</v>
      </c>
      <c r="S788" t="s">
        <v>2924</v>
      </c>
    </row>
    <row r="789" spans="1:19" x14ac:dyDescent="0.3">
      <c r="A789" s="1">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1">
        <v>45752</v>
      </c>
      <c r="R789" s="1">
        <v>45760</v>
      </c>
      <c r="S789" t="s">
        <v>2926</v>
      </c>
    </row>
    <row r="790" spans="1:19" x14ac:dyDescent="0.3">
      <c r="A790" s="1">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1">
        <v>45356</v>
      </c>
      <c r="R790" s="1">
        <v>45363</v>
      </c>
      <c r="S790" t="s">
        <v>2923</v>
      </c>
    </row>
    <row r="791" spans="1:19" x14ac:dyDescent="0.3">
      <c r="A791" s="1">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1">
        <v>45360</v>
      </c>
      <c r="R791" s="1">
        <v>45362</v>
      </c>
      <c r="S791" t="s">
        <v>2922</v>
      </c>
    </row>
    <row r="792" spans="1:19" x14ac:dyDescent="0.3">
      <c r="A792" s="1">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1">
        <v>45713</v>
      </c>
      <c r="R792" s="1">
        <v>45716</v>
      </c>
      <c r="S792" t="s">
        <v>2925</v>
      </c>
    </row>
    <row r="793" spans="1:19" x14ac:dyDescent="0.3">
      <c r="A793" s="1">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1">
        <v>45612</v>
      </c>
      <c r="R793" s="1">
        <v>45619</v>
      </c>
      <c r="S793" t="s">
        <v>2926</v>
      </c>
    </row>
    <row r="794" spans="1:19" x14ac:dyDescent="0.3">
      <c r="A794" s="1">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1">
        <v>45505</v>
      </c>
      <c r="R794" s="1">
        <v>45510</v>
      </c>
      <c r="S794" t="s">
        <v>2923</v>
      </c>
    </row>
    <row r="795" spans="1:19" x14ac:dyDescent="0.3">
      <c r="A795" s="1">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1">
        <v>45402</v>
      </c>
      <c r="R795" s="1">
        <v>45412</v>
      </c>
      <c r="S795" t="s">
        <v>2926</v>
      </c>
    </row>
    <row r="796" spans="1:19" x14ac:dyDescent="0.3">
      <c r="A796" s="1">
        <v>45402</v>
      </c>
      <c r="B796" t="s">
        <v>20</v>
      </c>
      <c r="C796" t="s">
        <v>24</v>
      </c>
      <c r="D796">
        <v>2</v>
      </c>
      <c r="E796">
        <v>169.62</v>
      </c>
      <c r="F796" t="s">
        <v>33</v>
      </c>
      <c r="G796" t="s">
        <v>36</v>
      </c>
      <c r="H796">
        <v>0.1</v>
      </c>
      <c r="I796" t="s">
        <v>38</v>
      </c>
      <c r="J796">
        <v>305.31599999999997</v>
      </c>
      <c r="K796" t="s">
        <v>46</v>
      </c>
      <c r="M796">
        <v>0</v>
      </c>
      <c r="N796" t="s">
        <v>845</v>
      </c>
      <c r="O796" t="s">
        <v>2311</v>
      </c>
      <c r="P796">
        <v>45.41</v>
      </c>
      <c r="Q796" s="1">
        <v>45402</v>
      </c>
      <c r="R796" s="1">
        <v>45407</v>
      </c>
      <c r="S796" t="s">
        <v>2923</v>
      </c>
    </row>
    <row r="797" spans="1:19" x14ac:dyDescent="0.3">
      <c r="A797" s="1">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1">
        <v>45191</v>
      </c>
      <c r="R797" s="1">
        <v>45197</v>
      </c>
      <c r="S797" t="s">
        <v>2924</v>
      </c>
    </row>
    <row r="798" spans="1:19" x14ac:dyDescent="0.3">
      <c r="A798" s="1">
        <v>45709</v>
      </c>
      <c r="B798" t="s">
        <v>23</v>
      </c>
      <c r="C798" t="s">
        <v>27</v>
      </c>
      <c r="D798">
        <v>3</v>
      </c>
      <c r="E798">
        <v>264.08</v>
      </c>
      <c r="F798" t="s">
        <v>32</v>
      </c>
      <c r="G798" t="s">
        <v>36</v>
      </c>
      <c r="H798">
        <v>0.1</v>
      </c>
      <c r="I798" t="s">
        <v>41</v>
      </c>
      <c r="J798">
        <v>713.01600000000008</v>
      </c>
      <c r="K798" t="s">
        <v>43</v>
      </c>
      <c r="M798">
        <v>0</v>
      </c>
      <c r="N798" t="s">
        <v>847</v>
      </c>
      <c r="O798" t="s">
        <v>2313</v>
      </c>
      <c r="P798">
        <v>25.39</v>
      </c>
      <c r="Q798" s="1">
        <v>45709</v>
      </c>
      <c r="R798" s="1">
        <v>45718</v>
      </c>
      <c r="S798" t="s">
        <v>2926</v>
      </c>
    </row>
    <row r="799" spans="1:19" x14ac:dyDescent="0.3">
      <c r="A799" s="1">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1">
        <v>45832</v>
      </c>
      <c r="R799" s="1">
        <v>45839</v>
      </c>
      <c r="S799" t="s">
        <v>2922</v>
      </c>
    </row>
    <row r="800" spans="1:19" x14ac:dyDescent="0.3">
      <c r="A800" s="1">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1">
        <v>45258</v>
      </c>
      <c r="R800" s="1">
        <v>45265</v>
      </c>
      <c r="S800" t="s">
        <v>2925</v>
      </c>
    </row>
    <row r="801" spans="1:19" x14ac:dyDescent="0.3">
      <c r="A801" s="1">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1">
        <v>45390</v>
      </c>
      <c r="R801" s="1">
        <v>45399</v>
      </c>
      <c r="S801" t="s">
        <v>2924</v>
      </c>
    </row>
    <row r="802" spans="1:19" x14ac:dyDescent="0.3">
      <c r="A802" s="1">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1">
        <v>45664</v>
      </c>
      <c r="R802" s="1">
        <v>45671</v>
      </c>
      <c r="S802" t="s">
        <v>2924</v>
      </c>
    </row>
    <row r="803" spans="1:19" x14ac:dyDescent="0.3">
      <c r="A803" s="1">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1">
        <v>44981</v>
      </c>
      <c r="R803" s="1">
        <v>44988</v>
      </c>
      <c r="S803" t="s">
        <v>2923</v>
      </c>
    </row>
    <row r="804" spans="1:19" x14ac:dyDescent="0.3">
      <c r="A804" s="1">
        <v>45218</v>
      </c>
      <c r="B804" t="s">
        <v>19</v>
      </c>
      <c r="C804" t="s">
        <v>27</v>
      </c>
      <c r="D804">
        <v>13</v>
      </c>
      <c r="E804">
        <v>393.1</v>
      </c>
      <c r="F804" t="s">
        <v>31</v>
      </c>
      <c r="G804" t="s">
        <v>35</v>
      </c>
      <c r="H804">
        <v>0.1</v>
      </c>
      <c r="I804" t="s">
        <v>38</v>
      </c>
      <c r="J804">
        <v>4599.2700000000004</v>
      </c>
      <c r="K804" t="s">
        <v>43</v>
      </c>
      <c r="M804">
        <v>0</v>
      </c>
      <c r="N804" t="s">
        <v>853</v>
      </c>
      <c r="O804" t="s">
        <v>1558</v>
      </c>
      <c r="P804">
        <v>12.64</v>
      </c>
      <c r="Q804" s="1">
        <v>45218</v>
      </c>
      <c r="R804" s="1">
        <v>45225</v>
      </c>
      <c r="S804" t="s">
        <v>2922</v>
      </c>
    </row>
    <row r="805" spans="1:19" x14ac:dyDescent="0.3">
      <c r="A805" s="1">
        <v>45460</v>
      </c>
      <c r="B805" t="s">
        <v>21</v>
      </c>
      <c r="C805" t="s">
        <v>27</v>
      </c>
      <c r="D805">
        <v>10</v>
      </c>
      <c r="E805">
        <v>83.86</v>
      </c>
      <c r="F805" t="s">
        <v>32</v>
      </c>
      <c r="G805" t="s">
        <v>35</v>
      </c>
      <c r="H805">
        <v>0.15</v>
      </c>
      <c r="I805" t="s">
        <v>38</v>
      </c>
      <c r="J805">
        <v>712.81</v>
      </c>
      <c r="K805" t="s">
        <v>45</v>
      </c>
      <c r="M805">
        <v>0</v>
      </c>
      <c r="N805" t="s">
        <v>854</v>
      </c>
      <c r="O805" t="s">
        <v>2317</v>
      </c>
      <c r="P805">
        <v>41.11</v>
      </c>
      <c r="Q805" s="1">
        <v>45460</v>
      </c>
      <c r="R805" s="1">
        <v>45464</v>
      </c>
      <c r="S805" t="s">
        <v>2924</v>
      </c>
    </row>
    <row r="806" spans="1:19" x14ac:dyDescent="0.3">
      <c r="A806" s="1">
        <v>45098</v>
      </c>
      <c r="B806" t="s">
        <v>22</v>
      </c>
      <c r="C806" t="s">
        <v>26</v>
      </c>
      <c r="D806">
        <v>10</v>
      </c>
      <c r="E806">
        <v>110.07</v>
      </c>
      <c r="F806" t="s">
        <v>31</v>
      </c>
      <c r="G806" t="s">
        <v>35</v>
      </c>
      <c r="H806">
        <v>0</v>
      </c>
      <c r="I806" t="s">
        <v>39</v>
      </c>
      <c r="J806">
        <v>1100.7</v>
      </c>
      <c r="K806" t="s">
        <v>45</v>
      </c>
      <c r="M806">
        <v>0</v>
      </c>
      <c r="N806" t="s">
        <v>855</v>
      </c>
      <c r="O806" t="s">
        <v>2318</v>
      </c>
      <c r="P806">
        <v>18.47</v>
      </c>
      <c r="Q806" s="1">
        <v>45098</v>
      </c>
      <c r="R806" s="1">
        <v>45106</v>
      </c>
      <c r="S806" t="s">
        <v>2925</v>
      </c>
    </row>
    <row r="807" spans="1:19" x14ac:dyDescent="0.3">
      <c r="A807" s="1">
        <v>45534</v>
      </c>
      <c r="B807" t="s">
        <v>19</v>
      </c>
      <c r="C807" t="s">
        <v>25</v>
      </c>
      <c r="D807">
        <v>6</v>
      </c>
      <c r="E807">
        <v>288.98</v>
      </c>
      <c r="F807" t="s">
        <v>33</v>
      </c>
      <c r="G807" t="s">
        <v>35</v>
      </c>
      <c r="H807">
        <v>0.15</v>
      </c>
      <c r="I807" t="s">
        <v>41</v>
      </c>
      <c r="J807">
        <v>1473.798</v>
      </c>
      <c r="K807" t="s">
        <v>44</v>
      </c>
      <c r="M807">
        <v>0</v>
      </c>
      <c r="N807" t="s">
        <v>856</v>
      </c>
      <c r="O807" t="s">
        <v>2319</v>
      </c>
      <c r="P807">
        <v>38.630000000000003</v>
      </c>
      <c r="Q807" s="1">
        <v>45534</v>
      </c>
      <c r="R807" s="1">
        <v>45537</v>
      </c>
      <c r="S807" t="s">
        <v>2922</v>
      </c>
    </row>
    <row r="808" spans="1:19" x14ac:dyDescent="0.3">
      <c r="A808" s="1">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1">
        <v>45660</v>
      </c>
      <c r="R808" s="1">
        <v>45670</v>
      </c>
      <c r="S808" t="s">
        <v>2925</v>
      </c>
    </row>
    <row r="809" spans="1:19" x14ac:dyDescent="0.3">
      <c r="A809" s="1">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1">
        <v>44980</v>
      </c>
      <c r="R809" s="1">
        <v>44987</v>
      </c>
      <c r="S809" t="s">
        <v>2926</v>
      </c>
    </row>
    <row r="810" spans="1:19" x14ac:dyDescent="0.3">
      <c r="A810" s="1">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1">
        <v>45773</v>
      </c>
      <c r="R810" s="1">
        <v>45776</v>
      </c>
      <c r="S810" t="s">
        <v>2925</v>
      </c>
    </row>
    <row r="811" spans="1:19" x14ac:dyDescent="0.3">
      <c r="A811" s="1">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1">
        <v>45085</v>
      </c>
      <c r="R811" s="1">
        <v>45091</v>
      </c>
      <c r="S811" t="s">
        <v>2923</v>
      </c>
    </row>
    <row r="812" spans="1:19" x14ac:dyDescent="0.3">
      <c r="A812" s="1">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1">
        <v>45001</v>
      </c>
      <c r="R812" s="1">
        <v>45010</v>
      </c>
      <c r="S812" t="s">
        <v>2924</v>
      </c>
    </row>
    <row r="813" spans="1:19" x14ac:dyDescent="0.3">
      <c r="A813" s="1">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1">
        <v>45588</v>
      </c>
      <c r="R813" s="1">
        <v>45593</v>
      </c>
      <c r="S813" t="s">
        <v>2924</v>
      </c>
    </row>
    <row r="814" spans="1:19" x14ac:dyDescent="0.3">
      <c r="A814" s="1">
        <v>45800</v>
      </c>
      <c r="B814" t="s">
        <v>19</v>
      </c>
      <c r="C814" t="s">
        <v>30</v>
      </c>
      <c r="D814">
        <v>9</v>
      </c>
      <c r="E814">
        <v>160.15</v>
      </c>
      <c r="F814" t="s">
        <v>34</v>
      </c>
      <c r="G814" t="s">
        <v>36</v>
      </c>
      <c r="H814">
        <v>0.1</v>
      </c>
      <c r="I814" t="s">
        <v>38</v>
      </c>
      <c r="J814">
        <v>1297.2149999999999</v>
      </c>
      <c r="K814" t="s">
        <v>46</v>
      </c>
      <c r="M814">
        <v>1</v>
      </c>
      <c r="N814" t="s">
        <v>863</v>
      </c>
      <c r="O814" t="s">
        <v>2325</v>
      </c>
      <c r="P814">
        <v>29.64</v>
      </c>
      <c r="Q814" s="1">
        <v>45800</v>
      </c>
      <c r="R814" s="1">
        <v>45805</v>
      </c>
      <c r="S814" t="s">
        <v>2922</v>
      </c>
    </row>
    <row r="815" spans="1:19" x14ac:dyDescent="0.3">
      <c r="A815" s="1">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1">
        <v>45052</v>
      </c>
      <c r="R815" s="1">
        <v>45060</v>
      </c>
      <c r="S815" t="s">
        <v>2922</v>
      </c>
    </row>
    <row r="816" spans="1:19" x14ac:dyDescent="0.3">
      <c r="A816" s="1">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1">
        <v>45519</v>
      </c>
      <c r="R816" s="1">
        <v>45526</v>
      </c>
      <c r="S816" t="s">
        <v>2923</v>
      </c>
    </row>
    <row r="817" spans="1:19" x14ac:dyDescent="0.3">
      <c r="A817" s="1">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1">
        <v>45161</v>
      </c>
      <c r="R817" s="1">
        <v>45169</v>
      </c>
      <c r="S817" t="s">
        <v>2923</v>
      </c>
    </row>
    <row r="818" spans="1:19" x14ac:dyDescent="0.3">
      <c r="A818" s="1">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1">
        <v>45760</v>
      </c>
      <c r="R818" s="1">
        <v>45769</v>
      </c>
      <c r="S818" t="s">
        <v>2923</v>
      </c>
    </row>
    <row r="819" spans="1:19" x14ac:dyDescent="0.3">
      <c r="A819" s="1">
        <v>45454</v>
      </c>
      <c r="B819" t="s">
        <v>22</v>
      </c>
      <c r="C819" t="s">
        <v>26</v>
      </c>
      <c r="D819">
        <v>5</v>
      </c>
      <c r="E819">
        <v>538.52</v>
      </c>
      <c r="F819" t="s">
        <v>31</v>
      </c>
      <c r="G819" t="s">
        <v>35</v>
      </c>
      <c r="H819">
        <v>0.05</v>
      </c>
      <c r="I819" t="s">
        <v>38</v>
      </c>
      <c r="J819">
        <v>2557.9699999999998</v>
      </c>
      <c r="K819" t="s">
        <v>44</v>
      </c>
      <c r="M819">
        <v>0</v>
      </c>
      <c r="N819" t="s">
        <v>868</v>
      </c>
      <c r="O819" t="s">
        <v>2330</v>
      </c>
      <c r="P819">
        <v>45.81</v>
      </c>
      <c r="Q819" s="1">
        <v>45454</v>
      </c>
      <c r="R819" s="1">
        <v>45460</v>
      </c>
      <c r="S819" t="s">
        <v>2925</v>
      </c>
    </row>
    <row r="820" spans="1:19" x14ac:dyDescent="0.3">
      <c r="A820" s="1">
        <v>45411</v>
      </c>
      <c r="B820" t="s">
        <v>20</v>
      </c>
      <c r="C820" t="s">
        <v>25</v>
      </c>
      <c r="D820">
        <v>11</v>
      </c>
      <c r="E820">
        <v>255.95</v>
      </c>
      <c r="F820" t="s">
        <v>33</v>
      </c>
      <c r="G820" t="s">
        <v>35</v>
      </c>
      <c r="H820">
        <v>0.1</v>
      </c>
      <c r="I820" t="s">
        <v>38</v>
      </c>
      <c r="J820">
        <v>2533.9050000000002</v>
      </c>
      <c r="K820" t="s">
        <v>43</v>
      </c>
      <c r="M820">
        <v>0</v>
      </c>
      <c r="N820" t="s">
        <v>869</v>
      </c>
      <c r="O820" t="s">
        <v>2331</v>
      </c>
      <c r="P820">
        <v>21.99</v>
      </c>
      <c r="Q820" s="1">
        <v>45411</v>
      </c>
      <c r="R820" s="1">
        <v>45416</v>
      </c>
      <c r="S820" t="s">
        <v>2923</v>
      </c>
    </row>
    <row r="821" spans="1:19" x14ac:dyDescent="0.3">
      <c r="A821" s="1">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1">
        <v>45012</v>
      </c>
      <c r="R821" s="1">
        <v>45020</v>
      </c>
      <c r="S821" t="s">
        <v>2923</v>
      </c>
    </row>
    <row r="822" spans="1:19" x14ac:dyDescent="0.3">
      <c r="A822" s="1">
        <v>45588</v>
      </c>
      <c r="B822" t="s">
        <v>21</v>
      </c>
      <c r="C822" t="s">
        <v>27</v>
      </c>
      <c r="D822">
        <v>20</v>
      </c>
      <c r="E822">
        <v>198.95</v>
      </c>
      <c r="F822" t="s">
        <v>31</v>
      </c>
      <c r="G822" t="s">
        <v>36</v>
      </c>
      <c r="H822">
        <v>0.1</v>
      </c>
      <c r="I822" t="s">
        <v>41</v>
      </c>
      <c r="J822">
        <v>3581.1</v>
      </c>
      <c r="K822" t="s">
        <v>45</v>
      </c>
      <c r="M822">
        <v>1</v>
      </c>
      <c r="N822" t="s">
        <v>871</v>
      </c>
      <c r="O822" t="s">
        <v>2333</v>
      </c>
      <c r="P822">
        <v>5.16</v>
      </c>
      <c r="Q822" s="1">
        <v>45588</v>
      </c>
      <c r="R822" s="1">
        <v>45590</v>
      </c>
      <c r="S822" t="s">
        <v>2924</v>
      </c>
    </row>
    <row r="823" spans="1:19" x14ac:dyDescent="0.3">
      <c r="A823" s="1">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1">
        <v>45098</v>
      </c>
      <c r="R823" s="1">
        <v>45105</v>
      </c>
      <c r="S823" t="s">
        <v>2924</v>
      </c>
    </row>
    <row r="824" spans="1:19" x14ac:dyDescent="0.3">
      <c r="A824" s="1">
        <v>45058</v>
      </c>
      <c r="B824" t="s">
        <v>22</v>
      </c>
      <c r="C824" t="s">
        <v>30</v>
      </c>
      <c r="D824">
        <v>10</v>
      </c>
      <c r="E824">
        <v>50.1</v>
      </c>
      <c r="F824" t="s">
        <v>32</v>
      </c>
      <c r="G824" t="s">
        <v>35</v>
      </c>
      <c r="H824">
        <v>0.1</v>
      </c>
      <c r="I824" t="s">
        <v>42</v>
      </c>
      <c r="J824">
        <v>450.9</v>
      </c>
      <c r="K824" t="s">
        <v>47</v>
      </c>
      <c r="L824" t="s">
        <v>48</v>
      </c>
      <c r="M824">
        <v>1</v>
      </c>
      <c r="N824" t="s">
        <v>873</v>
      </c>
      <c r="O824" t="s">
        <v>2122</v>
      </c>
      <c r="P824">
        <v>23.43</v>
      </c>
      <c r="Q824" s="1">
        <v>45058</v>
      </c>
      <c r="R824" s="1">
        <v>45065</v>
      </c>
      <c r="S824" t="s">
        <v>2925</v>
      </c>
    </row>
    <row r="825" spans="1:19" x14ac:dyDescent="0.3">
      <c r="A825" s="1">
        <v>45585</v>
      </c>
      <c r="B825" t="s">
        <v>22</v>
      </c>
      <c r="C825" t="s">
        <v>30</v>
      </c>
      <c r="D825">
        <v>19</v>
      </c>
      <c r="E825">
        <v>554.5</v>
      </c>
      <c r="F825" t="s">
        <v>31</v>
      </c>
      <c r="G825" t="s">
        <v>36</v>
      </c>
      <c r="H825">
        <v>0.15</v>
      </c>
      <c r="I825" t="s">
        <v>40</v>
      </c>
      <c r="J825">
        <v>8955.1749999999993</v>
      </c>
      <c r="K825" t="s">
        <v>43</v>
      </c>
      <c r="M825">
        <v>1</v>
      </c>
      <c r="N825" t="s">
        <v>874</v>
      </c>
      <c r="O825" t="s">
        <v>2334</v>
      </c>
      <c r="P825">
        <v>47.16</v>
      </c>
      <c r="Q825" s="1">
        <v>45585</v>
      </c>
      <c r="R825" s="1">
        <v>45589</v>
      </c>
      <c r="S825" t="s">
        <v>2925</v>
      </c>
    </row>
    <row r="826" spans="1:19" x14ac:dyDescent="0.3">
      <c r="A826" s="1">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1">
        <v>45386</v>
      </c>
      <c r="R826" s="1">
        <v>45389</v>
      </c>
      <c r="S826" t="s">
        <v>2924</v>
      </c>
    </row>
    <row r="827" spans="1:19" x14ac:dyDescent="0.3">
      <c r="A827" s="1">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1">
        <v>45669</v>
      </c>
      <c r="R827" s="1">
        <v>45673</v>
      </c>
      <c r="S827" t="s">
        <v>2925</v>
      </c>
    </row>
    <row r="828" spans="1:19" x14ac:dyDescent="0.3">
      <c r="A828" s="1">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1">
        <v>45131</v>
      </c>
      <c r="R828" s="1">
        <v>45136</v>
      </c>
      <c r="S828" t="s">
        <v>2923</v>
      </c>
    </row>
    <row r="829" spans="1:19" x14ac:dyDescent="0.3">
      <c r="A829" s="1">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1">
        <v>45178</v>
      </c>
      <c r="R829" s="1">
        <v>45182</v>
      </c>
      <c r="S829" t="s">
        <v>2924</v>
      </c>
    </row>
    <row r="830" spans="1:19" x14ac:dyDescent="0.3">
      <c r="A830" s="1">
        <v>45402</v>
      </c>
      <c r="B830" t="s">
        <v>19</v>
      </c>
      <c r="C830" t="s">
        <v>30</v>
      </c>
      <c r="D830">
        <v>5</v>
      </c>
      <c r="E830">
        <v>550.65</v>
      </c>
      <c r="F830" t="s">
        <v>32</v>
      </c>
      <c r="G830" t="s">
        <v>36</v>
      </c>
      <c r="H830">
        <v>0.15</v>
      </c>
      <c r="I830" t="s">
        <v>42</v>
      </c>
      <c r="J830">
        <v>2340.2624999999998</v>
      </c>
      <c r="K830" t="s">
        <v>44</v>
      </c>
      <c r="M830">
        <v>0</v>
      </c>
      <c r="N830" t="s">
        <v>879</v>
      </c>
      <c r="O830" t="s">
        <v>2338</v>
      </c>
      <c r="P830">
        <v>16.82</v>
      </c>
      <c r="Q830" s="1">
        <v>45402</v>
      </c>
      <c r="R830" s="1">
        <v>45409</v>
      </c>
      <c r="S830" t="s">
        <v>2922</v>
      </c>
    </row>
    <row r="831" spans="1:19" x14ac:dyDescent="0.3">
      <c r="A831" s="1">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1">
        <v>45694</v>
      </c>
      <c r="R831" s="1">
        <v>45702</v>
      </c>
      <c r="S831" t="s">
        <v>2926</v>
      </c>
    </row>
    <row r="832" spans="1:19" x14ac:dyDescent="0.3">
      <c r="A832" s="1">
        <v>45095</v>
      </c>
      <c r="B832" t="s">
        <v>23</v>
      </c>
      <c r="C832" t="s">
        <v>29</v>
      </c>
      <c r="D832">
        <v>19</v>
      </c>
      <c r="E832">
        <v>25.22</v>
      </c>
      <c r="F832" t="s">
        <v>33</v>
      </c>
      <c r="G832" t="s">
        <v>35</v>
      </c>
      <c r="H832">
        <v>0</v>
      </c>
      <c r="I832" t="s">
        <v>42</v>
      </c>
      <c r="J832">
        <v>479.17999999999989</v>
      </c>
      <c r="K832" t="s">
        <v>45</v>
      </c>
      <c r="M832">
        <v>0</v>
      </c>
      <c r="N832" t="s">
        <v>881</v>
      </c>
      <c r="O832" t="s">
        <v>2339</v>
      </c>
      <c r="P832">
        <v>31.31</v>
      </c>
      <c r="Q832" s="1">
        <v>45095</v>
      </c>
      <c r="R832" s="1">
        <v>45099</v>
      </c>
      <c r="S832" t="s">
        <v>2926</v>
      </c>
    </row>
    <row r="833" spans="1:19" x14ac:dyDescent="0.3">
      <c r="A833" s="1">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1">
        <v>45597</v>
      </c>
      <c r="R833" s="1">
        <v>45604</v>
      </c>
      <c r="S833" t="s">
        <v>2924</v>
      </c>
    </row>
    <row r="834" spans="1:19" x14ac:dyDescent="0.3">
      <c r="A834" s="1">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1">
        <v>45516</v>
      </c>
      <c r="R834" s="1">
        <v>45525</v>
      </c>
      <c r="S834" t="s">
        <v>2926</v>
      </c>
    </row>
    <row r="835" spans="1:19" x14ac:dyDescent="0.3">
      <c r="A835" s="1">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1">
        <v>45755</v>
      </c>
      <c r="R835" s="1">
        <v>45764</v>
      </c>
      <c r="S835" t="s">
        <v>2925</v>
      </c>
    </row>
    <row r="836" spans="1:19" x14ac:dyDescent="0.3">
      <c r="A836" s="1">
        <v>45493</v>
      </c>
      <c r="B836" t="s">
        <v>22</v>
      </c>
      <c r="C836" t="s">
        <v>24</v>
      </c>
      <c r="D836">
        <v>8</v>
      </c>
      <c r="E836">
        <v>224.18</v>
      </c>
      <c r="F836" t="s">
        <v>31</v>
      </c>
      <c r="G836" t="s">
        <v>36</v>
      </c>
      <c r="H836">
        <v>0.15</v>
      </c>
      <c r="I836" t="s">
        <v>42</v>
      </c>
      <c r="J836">
        <v>1524.424</v>
      </c>
      <c r="K836" t="s">
        <v>46</v>
      </c>
      <c r="M836">
        <v>0</v>
      </c>
      <c r="N836" t="s">
        <v>885</v>
      </c>
      <c r="O836" t="s">
        <v>2343</v>
      </c>
      <c r="P836">
        <v>36.9</v>
      </c>
      <c r="Q836" s="1">
        <v>45493</v>
      </c>
      <c r="R836" s="1">
        <v>45499</v>
      </c>
      <c r="S836" t="s">
        <v>2925</v>
      </c>
    </row>
    <row r="837" spans="1:19" x14ac:dyDescent="0.3">
      <c r="A837" s="1">
        <v>44974</v>
      </c>
      <c r="B837" t="s">
        <v>23</v>
      </c>
      <c r="C837" t="s">
        <v>26</v>
      </c>
      <c r="D837">
        <v>6</v>
      </c>
      <c r="E837">
        <v>327.69</v>
      </c>
      <c r="F837" t="s">
        <v>34</v>
      </c>
      <c r="G837" t="s">
        <v>35</v>
      </c>
      <c r="H837">
        <v>0.05</v>
      </c>
      <c r="I837" t="s">
        <v>41</v>
      </c>
      <c r="J837">
        <v>1867.8330000000001</v>
      </c>
      <c r="K837" t="s">
        <v>47</v>
      </c>
      <c r="M837">
        <v>0</v>
      </c>
      <c r="N837" t="s">
        <v>886</v>
      </c>
      <c r="O837" t="s">
        <v>2344</v>
      </c>
      <c r="P837">
        <v>22.34</v>
      </c>
      <c r="Q837" s="1">
        <v>44974</v>
      </c>
      <c r="R837" s="1">
        <v>44978</v>
      </c>
      <c r="S837" t="s">
        <v>2926</v>
      </c>
    </row>
    <row r="838" spans="1:19" x14ac:dyDescent="0.3">
      <c r="A838" s="1">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1">
        <v>45475</v>
      </c>
      <c r="R838" s="1">
        <v>45477</v>
      </c>
      <c r="S838" t="s">
        <v>2922</v>
      </c>
    </row>
    <row r="839" spans="1:19" x14ac:dyDescent="0.3">
      <c r="A839" s="1">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1">
        <v>45748</v>
      </c>
      <c r="R839" s="1">
        <v>45751</v>
      </c>
      <c r="S839" t="s">
        <v>2924</v>
      </c>
    </row>
    <row r="840" spans="1:19" x14ac:dyDescent="0.3">
      <c r="A840" s="1">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1">
        <v>45810</v>
      </c>
      <c r="R840" s="1">
        <v>45817</v>
      </c>
      <c r="S840" t="s">
        <v>2923</v>
      </c>
    </row>
    <row r="841" spans="1:19" x14ac:dyDescent="0.3">
      <c r="A841" s="1">
        <v>45617</v>
      </c>
      <c r="B841" t="s">
        <v>23</v>
      </c>
      <c r="C841" t="s">
        <v>25</v>
      </c>
      <c r="D841">
        <v>5</v>
      </c>
      <c r="E841">
        <v>69.290000000000006</v>
      </c>
      <c r="F841" t="s">
        <v>33</v>
      </c>
      <c r="G841" t="s">
        <v>35</v>
      </c>
      <c r="H841">
        <v>0</v>
      </c>
      <c r="I841" t="s">
        <v>40</v>
      </c>
      <c r="J841">
        <v>346.45</v>
      </c>
      <c r="K841" t="s">
        <v>45</v>
      </c>
      <c r="M841">
        <v>0</v>
      </c>
      <c r="N841" t="s">
        <v>890</v>
      </c>
      <c r="O841" t="s">
        <v>2348</v>
      </c>
      <c r="P841">
        <v>20.83</v>
      </c>
      <c r="Q841" s="1">
        <v>45617</v>
      </c>
      <c r="R841" s="1">
        <v>45625</v>
      </c>
      <c r="S841" t="s">
        <v>2926</v>
      </c>
    </row>
    <row r="842" spans="1:19" x14ac:dyDescent="0.3">
      <c r="A842" s="1">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1">
        <v>45301</v>
      </c>
      <c r="R842" s="1">
        <v>45305</v>
      </c>
      <c r="S842" t="s">
        <v>2923</v>
      </c>
    </row>
    <row r="843" spans="1:19" x14ac:dyDescent="0.3">
      <c r="A843" s="1">
        <v>45220</v>
      </c>
      <c r="B843" t="s">
        <v>21</v>
      </c>
      <c r="C843" t="s">
        <v>26</v>
      </c>
      <c r="D843">
        <v>4</v>
      </c>
      <c r="E843">
        <v>390.3</v>
      </c>
      <c r="F843" t="s">
        <v>32</v>
      </c>
      <c r="G843" t="s">
        <v>36</v>
      </c>
      <c r="H843">
        <v>0.15</v>
      </c>
      <c r="I843" t="s">
        <v>41</v>
      </c>
      <c r="J843">
        <v>1327.02</v>
      </c>
      <c r="K843" t="s">
        <v>46</v>
      </c>
      <c r="M843">
        <v>0</v>
      </c>
      <c r="N843" t="s">
        <v>892</v>
      </c>
      <c r="O843" t="s">
        <v>2350</v>
      </c>
      <c r="P843">
        <v>43.56</v>
      </c>
      <c r="Q843" s="1">
        <v>45220</v>
      </c>
      <c r="R843" s="1">
        <v>45225</v>
      </c>
      <c r="S843" t="s">
        <v>2924</v>
      </c>
    </row>
    <row r="844" spans="1:19" x14ac:dyDescent="0.3">
      <c r="A844" s="1">
        <v>45677</v>
      </c>
      <c r="B844" t="s">
        <v>21</v>
      </c>
      <c r="C844" t="s">
        <v>25</v>
      </c>
      <c r="D844">
        <v>7</v>
      </c>
      <c r="E844">
        <v>61.83</v>
      </c>
      <c r="F844" t="s">
        <v>31</v>
      </c>
      <c r="G844" t="s">
        <v>36</v>
      </c>
      <c r="H844">
        <v>0</v>
      </c>
      <c r="I844" t="s">
        <v>41</v>
      </c>
      <c r="J844">
        <v>432.81</v>
      </c>
      <c r="K844" t="s">
        <v>43</v>
      </c>
      <c r="L844" t="s">
        <v>50</v>
      </c>
      <c r="M844">
        <v>0</v>
      </c>
      <c r="N844" t="s">
        <v>893</v>
      </c>
      <c r="O844" t="s">
        <v>2351</v>
      </c>
      <c r="P844">
        <v>25.49</v>
      </c>
      <c r="Q844" s="1">
        <v>45677</v>
      </c>
      <c r="R844" s="1">
        <v>45679</v>
      </c>
      <c r="S844" t="s">
        <v>2924</v>
      </c>
    </row>
    <row r="845" spans="1:19" x14ac:dyDescent="0.3">
      <c r="A845" s="1">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1">
        <v>45605</v>
      </c>
      <c r="R845" s="1">
        <v>45613</v>
      </c>
      <c r="S845" t="s">
        <v>2926</v>
      </c>
    </row>
    <row r="846" spans="1:19" x14ac:dyDescent="0.3">
      <c r="A846" s="1">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1">
        <v>45385</v>
      </c>
      <c r="R846" s="1">
        <v>45389</v>
      </c>
      <c r="S846" t="s">
        <v>2926</v>
      </c>
    </row>
    <row r="847" spans="1:19" x14ac:dyDescent="0.3">
      <c r="A847" s="1">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1">
        <v>45297</v>
      </c>
      <c r="R847" s="1">
        <v>45299</v>
      </c>
      <c r="S847" t="s">
        <v>2924</v>
      </c>
    </row>
    <row r="848" spans="1:19" x14ac:dyDescent="0.3">
      <c r="A848" s="1">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1">
        <v>45140</v>
      </c>
      <c r="R848" s="1">
        <v>45143</v>
      </c>
      <c r="S848" t="s">
        <v>2925</v>
      </c>
    </row>
    <row r="849" spans="1:19" x14ac:dyDescent="0.3">
      <c r="A849" s="1">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1">
        <v>45256</v>
      </c>
      <c r="R849" s="1">
        <v>45261</v>
      </c>
      <c r="S849" t="s">
        <v>2924</v>
      </c>
    </row>
    <row r="850" spans="1:19" x14ac:dyDescent="0.3">
      <c r="A850" s="1">
        <v>45767</v>
      </c>
      <c r="B850" t="s">
        <v>19</v>
      </c>
      <c r="C850" t="s">
        <v>26</v>
      </c>
      <c r="D850">
        <v>17</v>
      </c>
      <c r="E850">
        <v>469.25</v>
      </c>
      <c r="F850" t="s">
        <v>31</v>
      </c>
      <c r="G850" t="s">
        <v>35</v>
      </c>
      <c r="H850">
        <v>0.05</v>
      </c>
      <c r="I850" t="s">
        <v>42</v>
      </c>
      <c r="J850">
        <v>7578.3874999999998</v>
      </c>
      <c r="K850" t="s">
        <v>45</v>
      </c>
      <c r="M850">
        <v>0</v>
      </c>
      <c r="N850" t="s">
        <v>899</v>
      </c>
      <c r="O850" t="s">
        <v>2357</v>
      </c>
      <c r="P850">
        <v>45.76</v>
      </c>
      <c r="Q850" s="1">
        <v>45767</v>
      </c>
      <c r="R850" s="1">
        <v>45773</v>
      </c>
      <c r="S850" t="s">
        <v>2922</v>
      </c>
    </row>
    <row r="851" spans="1:19" x14ac:dyDescent="0.3">
      <c r="A851" s="1">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1">
        <v>45289</v>
      </c>
      <c r="R851" s="1">
        <v>45296</v>
      </c>
      <c r="S851" t="s">
        <v>2923</v>
      </c>
    </row>
    <row r="852" spans="1:19" x14ac:dyDescent="0.3">
      <c r="A852" s="1">
        <v>45665</v>
      </c>
      <c r="B852" t="s">
        <v>22</v>
      </c>
      <c r="C852" t="s">
        <v>27</v>
      </c>
      <c r="D852">
        <v>19</v>
      </c>
      <c r="E852">
        <v>465.27</v>
      </c>
      <c r="F852" t="s">
        <v>33</v>
      </c>
      <c r="G852" t="s">
        <v>36</v>
      </c>
      <c r="H852">
        <v>0.05</v>
      </c>
      <c r="I852" t="s">
        <v>41</v>
      </c>
      <c r="J852">
        <v>8398.1234999999997</v>
      </c>
      <c r="K852" t="s">
        <v>45</v>
      </c>
      <c r="M852">
        <v>0</v>
      </c>
      <c r="N852" t="s">
        <v>901</v>
      </c>
      <c r="O852" t="s">
        <v>2359</v>
      </c>
      <c r="P852">
        <v>44.95</v>
      </c>
      <c r="Q852" s="1">
        <v>45665</v>
      </c>
      <c r="R852" s="1">
        <v>45667</v>
      </c>
      <c r="S852" t="s">
        <v>2925</v>
      </c>
    </row>
    <row r="853" spans="1:19" x14ac:dyDescent="0.3">
      <c r="A853" s="1">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1">
        <v>45418</v>
      </c>
      <c r="R853" s="1">
        <v>45426</v>
      </c>
      <c r="S853" t="s">
        <v>2922</v>
      </c>
    </row>
    <row r="854" spans="1:19" x14ac:dyDescent="0.3">
      <c r="A854" s="1">
        <v>45550</v>
      </c>
      <c r="B854" t="s">
        <v>21</v>
      </c>
      <c r="C854" t="s">
        <v>26</v>
      </c>
      <c r="D854">
        <v>14</v>
      </c>
      <c r="E854">
        <v>472.51</v>
      </c>
      <c r="F854" t="s">
        <v>34</v>
      </c>
      <c r="G854" t="s">
        <v>35</v>
      </c>
      <c r="H854">
        <v>0.05</v>
      </c>
      <c r="I854" t="s">
        <v>42</v>
      </c>
      <c r="J854">
        <v>6284.3829999999989</v>
      </c>
      <c r="K854" t="s">
        <v>44</v>
      </c>
      <c r="M854">
        <v>0</v>
      </c>
      <c r="N854" t="s">
        <v>903</v>
      </c>
      <c r="O854" t="s">
        <v>2361</v>
      </c>
      <c r="P854">
        <v>13.54</v>
      </c>
      <c r="Q854" s="1">
        <v>45550</v>
      </c>
      <c r="R854" s="1">
        <v>45555</v>
      </c>
      <c r="S854" t="s">
        <v>2924</v>
      </c>
    </row>
    <row r="855" spans="1:19" x14ac:dyDescent="0.3">
      <c r="A855" s="1">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1">
        <v>44964</v>
      </c>
      <c r="R855" s="1">
        <v>44969</v>
      </c>
      <c r="S855" t="s">
        <v>2926</v>
      </c>
    </row>
    <row r="856" spans="1:19" x14ac:dyDescent="0.3">
      <c r="A856" s="1">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1">
        <v>44986</v>
      </c>
      <c r="R856" s="1">
        <v>44994</v>
      </c>
      <c r="S856" t="s">
        <v>2922</v>
      </c>
    </row>
    <row r="857" spans="1:19" x14ac:dyDescent="0.3">
      <c r="A857" s="1">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1">
        <v>45420</v>
      </c>
      <c r="R857" s="1">
        <v>45424</v>
      </c>
      <c r="S857" t="s">
        <v>2924</v>
      </c>
    </row>
    <row r="858" spans="1:19" x14ac:dyDescent="0.3">
      <c r="A858" s="1">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1">
        <v>45449</v>
      </c>
      <c r="R858" s="1">
        <v>45451</v>
      </c>
      <c r="S858" t="s">
        <v>2922</v>
      </c>
    </row>
    <row r="859" spans="1:19" x14ac:dyDescent="0.3">
      <c r="A859" s="1">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1">
        <v>45045</v>
      </c>
      <c r="R859" s="1">
        <v>45054</v>
      </c>
      <c r="S859" t="s">
        <v>2924</v>
      </c>
    </row>
    <row r="860" spans="1:19" x14ac:dyDescent="0.3">
      <c r="A860" s="1">
        <v>45189</v>
      </c>
      <c r="B860" t="s">
        <v>22</v>
      </c>
      <c r="C860" t="s">
        <v>29</v>
      </c>
      <c r="D860">
        <v>9</v>
      </c>
      <c r="E860">
        <v>588.59</v>
      </c>
      <c r="F860" t="s">
        <v>34</v>
      </c>
      <c r="G860" t="s">
        <v>35</v>
      </c>
      <c r="H860">
        <v>0.05</v>
      </c>
      <c r="I860" t="s">
        <v>41</v>
      </c>
      <c r="J860">
        <v>5032.4445000000014</v>
      </c>
      <c r="K860" t="s">
        <v>43</v>
      </c>
      <c r="M860">
        <v>0</v>
      </c>
      <c r="N860" t="s">
        <v>909</v>
      </c>
      <c r="O860" t="s">
        <v>2366</v>
      </c>
      <c r="P860">
        <v>42.3</v>
      </c>
      <c r="Q860" s="1">
        <v>45189</v>
      </c>
      <c r="R860" s="1">
        <v>45191</v>
      </c>
      <c r="S860" t="s">
        <v>2925</v>
      </c>
    </row>
    <row r="861" spans="1:19" x14ac:dyDescent="0.3">
      <c r="A861" s="1">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1">
        <v>45604</v>
      </c>
      <c r="R861" s="1">
        <v>45609</v>
      </c>
      <c r="S861" t="s">
        <v>2923</v>
      </c>
    </row>
    <row r="862" spans="1:19" x14ac:dyDescent="0.3">
      <c r="A862" s="1">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1">
        <v>45007</v>
      </c>
      <c r="R862" s="1">
        <v>45015</v>
      </c>
      <c r="S862" t="s">
        <v>2924</v>
      </c>
    </row>
    <row r="863" spans="1:19" x14ac:dyDescent="0.3">
      <c r="A863" s="1">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1">
        <v>45174</v>
      </c>
      <c r="R863" s="1">
        <v>45182</v>
      </c>
      <c r="S863" t="s">
        <v>2922</v>
      </c>
    </row>
    <row r="864" spans="1:19" x14ac:dyDescent="0.3">
      <c r="A864" s="1">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1">
        <v>44983</v>
      </c>
      <c r="R864" s="1">
        <v>44990</v>
      </c>
      <c r="S864" t="s">
        <v>2922</v>
      </c>
    </row>
    <row r="865" spans="1:19" x14ac:dyDescent="0.3">
      <c r="A865" s="1">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1">
        <v>45622</v>
      </c>
      <c r="R865" s="1">
        <v>45625</v>
      </c>
      <c r="S865" t="s">
        <v>2926</v>
      </c>
    </row>
    <row r="866" spans="1:19" x14ac:dyDescent="0.3">
      <c r="A866" s="1">
        <v>45579</v>
      </c>
      <c r="B866" t="s">
        <v>22</v>
      </c>
      <c r="C866" t="s">
        <v>27</v>
      </c>
      <c r="D866">
        <v>3</v>
      </c>
      <c r="E866">
        <v>391.63</v>
      </c>
      <c r="F866" t="s">
        <v>33</v>
      </c>
      <c r="G866" t="s">
        <v>36</v>
      </c>
      <c r="H866">
        <v>0</v>
      </c>
      <c r="I866" t="s">
        <v>39</v>
      </c>
      <c r="J866">
        <v>1174.8900000000001</v>
      </c>
      <c r="K866" t="s">
        <v>46</v>
      </c>
      <c r="M866">
        <v>1</v>
      </c>
      <c r="N866" t="s">
        <v>915</v>
      </c>
      <c r="O866" t="s">
        <v>2372</v>
      </c>
      <c r="P866">
        <v>25.36</v>
      </c>
      <c r="Q866" s="1">
        <v>45579</v>
      </c>
      <c r="R866" s="1">
        <v>45582</v>
      </c>
      <c r="S866" t="s">
        <v>2925</v>
      </c>
    </row>
    <row r="867" spans="1:19" x14ac:dyDescent="0.3">
      <c r="A867" s="1">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1">
        <v>45075</v>
      </c>
      <c r="R867" s="1">
        <v>45080</v>
      </c>
      <c r="S867" t="s">
        <v>2925</v>
      </c>
    </row>
    <row r="868" spans="1:19" x14ac:dyDescent="0.3">
      <c r="A868" s="1">
        <v>45373</v>
      </c>
      <c r="B868" t="s">
        <v>22</v>
      </c>
      <c r="C868" t="s">
        <v>24</v>
      </c>
      <c r="D868">
        <v>6</v>
      </c>
      <c r="E868">
        <v>453.86</v>
      </c>
      <c r="F868" t="s">
        <v>31</v>
      </c>
      <c r="G868" t="s">
        <v>36</v>
      </c>
      <c r="H868">
        <v>0.15</v>
      </c>
      <c r="I868" t="s">
        <v>38</v>
      </c>
      <c r="J868">
        <v>2314.6860000000001</v>
      </c>
      <c r="K868" t="s">
        <v>45</v>
      </c>
      <c r="M868">
        <v>0</v>
      </c>
      <c r="N868" t="s">
        <v>917</v>
      </c>
      <c r="O868" t="s">
        <v>2374</v>
      </c>
      <c r="P868">
        <v>45.32</v>
      </c>
      <c r="Q868" s="1">
        <v>45373</v>
      </c>
      <c r="R868" s="1">
        <v>45382</v>
      </c>
      <c r="S868" t="s">
        <v>2925</v>
      </c>
    </row>
    <row r="869" spans="1:19" x14ac:dyDescent="0.3">
      <c r="A869" s="1">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1">
        <v>45038</v>
      </c>
      <c r="R869" s="1">
        <v>45048</v>
      </c>
      <c r="S869" t="s">
        <v>2923</v>
      </c>
    </row>
    <row r="870" spans="1:19" x14ac:dyDescent="0.3">
      <c r="A870" s="1">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1">
        <v>45814</v>
      </c>
      <c r="R870" s="1">
        <v>45820</v>
      </c>
      <c r="S870" t="s">
        <v>2924</v>
      </c>
    </row>
    <row r="871" spans="1:19" x14ac:dyDescent="0.3">
      <c r="A871" s="1">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1">
        <v>44951</v>
      </c>
      <c r="R871" s="1">
        <v>44955</v>
      </c>
      <c r="S871" t="s">
        <v>2925</v>
      </c>
    </row>
    <row r="872" spans="1:19" x14ac:dyDescent="0.3">
      <c r="A872" s="1">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1">
        <v>45177</v>
      </c>
      <c r="R872" s="1">
        <v>45179</v>
      </c>
      <c r="S872" t="s">
        <v>2923</v>
      </c>
    </row>
    <row r="873" spans="1:19" x14ac:dyDescent="0.3">
      <c r="A873" s="1">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1">
        <v>45569</v>
      </c>
      <c r="R873" s="1">
        <v>45576</v>
      </c>
      <c r="S873" t="s">
        <v>2922</v>
      </c>
    </row>
    <row r="874" spans="1:19" x14ac:dyDescent="0.3">
      <c r="A874" s="1">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1">
        <v>45753</v>
      </c>
      <c r="R874" s="1">
        <v>45755</v>
      </c>
      <c r="S874" t="s">
        <v>2922</v>
      </c>
    </row>
    <row r="875" spans="1:19" x14ac:dyDescent="0.3">
      <c r="A875" s="1">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1">
        <v>45529</v>
      </c>
      <c r="R875" s="1">
        <v>45533</v>
      </c>
      <c r="S875" t="s">
        <v>2922</v>
      </c>
    </row>
    <row r="876" spans="1:19" x14ac:dyDescent="0.3">
      <c r="A876" s="1">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1">
        <v>45357</v>
      </c>
      <c r="R876" s="1">
        <v>45363</v>
      </c>
      <c r="S876" t="s">
        <v>2924</v>
      </c>
    </row>
    <row r="877" spans="1:19" x14ac:dyDescent="0.3">
      <c r="A877" s="1">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1">
        <v>45008</v>
      </c>
      <c r="R877" s="1">
        <v>45011</v>
      </c>
      <c r="S877" t="s">
        <v>2922</v>
      </c>
    </row>
    <row r="878" spans="1:19" x14ac:dyDescent="0.3">
      <c r="A878" s="1">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1">
        <v>45304</v>
      </c>
      <c r="R878" s="1">
        <v>45308</v>
      </c>
      <c r="S878" t="s">
        <v>2925</v>
      </c>
    </row>
    <row r="879" spans="1:19" x14ac:dyDescent="0.3">
      <c r="A879" s="1">
        <v>45125</v>
      </c>
      <c r="B879" t="s">
        <v>22</v>
      </c>
      <c r="C879" t="s">
        <v>30</v>
      </c>
      <c r="D879">
        <v>15</v>
      </c>
      <c r="E879">
        <v>144.11000000000001</v>
      </c>
      <c r="F879" t="s">
        <v>33</v>
      </c>
      <c r="G879" t="s">
        <v>36</v>
      </c>
      <c r="H879">
        <v>0</v>
      </c>
      <c r="I879" t="s">
        <v>39</v>
      </c>
      <c r="J879">
        <v>2161.65</v>
      </c>
      <c r="K879" t="s">
        <v>44</v>
      </c>
      <c r="M879">
        <v>0</v>
      </c>
      <c r="N879" t="s">
        <v>928</v>
      </c>
      <c r="O879" t="s">
        <v>2384</v>
      </c>
      <c r="P879">
        <v>28.51</v>
      </c>
      <c r="Q879" s="1">
        <v>45125</v>
      </c>
      <c r="R879" s="1">
        <v>45131</v>
      </c>
      <c r="S879" t="s">
        <v>2925</v>
      </c>
    </row>
    <row r="880" spans="1:19" x14ac:dyDescent="0.3">
      <c r="A880" s="1">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1">
        <v>45711</v>
      </c>
      <c r="R880" s="1">
        <v>45720</v>
      </c>
      <c r="S880" t="s">
        <v>2926</v>
      </c>
    </row>
    <row r="881" spans="1:19" x14ac:dyDescent="0.3">
      <c r="A881" s="1">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1">
        <v>44979</v>
      </c>
      <c r="R881" s="1">
        <v>44987</v>
      </c>
      <c r="S881" t="s">
        <v>2922</v>
      </c>
    </row>
    <row r="882" spans="1:19" x14ac:dyDescent="0.3">
      <c r="A882" s="1">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1">
        <v>45583</v>
      </c>
      <c r="R882" s="1">
        <v>45593</v>
      </c>
      <c r="S882" t="s">
        <v>2924</v>
      </c>
    </row>
    <row r="883" spans="1:19" x14ac:dyDescent="0.3">
      <c r="A883" s="1">
        <v>45225</v>
      </c>
      <c r="B883" t="s">
        <v>23</v>
      </c>
      <c r="C883" t="s">
        <v>30</v>
      </c>
      <c r="D883">
        <v>16</v>
      </c>
      <c r="E883">
        <v>70.83</v>
      </c>
      <c r="F883" t="s">
        <v>31</v>
      </c>
      <c r="G883" t="s">
        <v>35</v>
      </c>
      <c r="H883">
        <v>0.05</v>
      </c>
      <c r="I883" t="s">
        <v>40</v>
      </c>
      <c r="J883">
        <v>1076.616</v>
      </c>
      <c r="K883" t="s">
        <v>44</v>
      </c>
      <c r="M883">
        <v>0</v>
      </c>
      <c r="N883" t="s">
        <v>932</v>
      </c>
      <c r="O883" t="s">
        <v>2388</v>
      </c>
      <c r="P883">
        <v>5.05</v>
      </c>
      <c r="Q883" s="1">
        <v>45225</v>
      </c>
      <c r="R883" s="1">
        <v>45230</v>
      </c>
      <c r="S883" t="s">
        <v>2926</v>
      </c>
    </row>
    <row r="884" spans="1:19" x14ac:dyDescent="0.3">
      <c r="A884" s="1">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1">
        <v>44936</v>
      </c>
      <c r="R884" s="1">
        <v>44940</v>
      </c>
      <c r="S884" t="s">
        <v>2925</v>
      </c>
    </row>
    <row r="885" spans="1:19" x14ac:dyDescent="0.3">
      <c r="A885" s="1">
        <v>45370</v>
      </c>
      <c r="B885" t="s">
        <v>22</v>
      </c>
      <c r="C885" t="s">
        <v>26</v>
      </c>
      <c r="D885">
        <v>10</v>
      </c>
      <c r="E885">
        <v>19.73</v>
      </c>
      <c r="F885" t="s">
        <v>34</v>
      </c>
      <c r="G885" t="s">
        <v>36</v>
      </c>
      <c r="H885">
        <v>0.1</v>
      </c>
      <c r="I885" t="s">
        <v>40</v>
      </c>
      <c r="J885">
        <v>177.57</v>
      </c>
      <c r="K885" t="s">
        <v>46</v>
      </c>
      <c r="M885">
        <v>0</v>
      </c>
      <c r="N885" t="s">
        <v>934</v>
      </c>
      <c r="O885" t="s">
        <v>2389</v>
      </c>
      <c r="P885">
        <v>16.059999999999999</v>
      </c>
      <c r="Q885" s="1">
        <v>45370</v>
      </c>
      <c r="R885" s="1">
        <v>45373</v>
      </c>
      <c r="S885" t="s">
        <v>2925</v>
      </c>
    </row>
    <row r="886" spans="1:19" x14ac:dyDescent="0.3">
      <c r="A886" s="1">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1">
        <v>45280</v>
      </c>
      <c r="R886" s="1">
        <v>45286</v>
      </c>
      <c r="S886" t="s">
        <v>2925</v>
      </c>
    </row>
    <row r="887" spans="1:19" x14ac:dyDescent="0.3">
      <c r="A887" s="1">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1">
        <v>45635</v>
      </c>
      <c r="R887" s="1">
        <v>45645</v>
      </c>
      <c r="S887" t="s">
        <v>2925</v>
      </c>
    </row>
    <row r="888" spans="1:19" x14ac:dyDescent="0.3">
      <c r="A888" s="1">
        <v>45056</v>
      </c>
      <c r="B888" t="s">
        <v>22</v>
      </c>
      <c r="C888" t="s">
        <v>29</v>
      </c>
      <c r="D888">
        <v>11</v>
      </c>
      <c r="E888">
        <v>529.20000000000005</v>
      </c>
      <c r="F888" t="s">
        <v>32</v>
      </c>
      <c r="G888" t="s">
        <v>35</v>
      </c>
      <c r="H888">
        <v>0.05</v>
      </c>
      <c r="I888" t="s">
        <v>42</v>
      </c>
      <c r="J888">
        <v>5530.14</v>
      </c>
      <c r="K888" t="s">
        <v>45</v>
      </c>
      <c r="M888">
        <v>1</v>
      </c>
      <c r="N888" t="s">
        <v>937</v>
      </c>
      <c r="O888" t="s">
        <v>2392</v>
      </c>
      <c r="P888">
        <v>16.78</v>
      </c>
      <c r="Q888" s="1">
        <v>45056</v>
      </c>
      <c r="R888" s="1">
        <v>45066</v>
      </c>
      <c r="S888" t="s">
        <v>2925</v>
      </c>
    </row>
    <row r="889" spans="1:19" x14ac:dyDescent="0.3">
      <c r="A889" s="1">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1">
        <v>45217</v>
      </c>
      <c r="R889" s="1">
        <v>45220</v>
      </c>
      <c r="S889" t="s">
        <v>2923</v>
      </c>
    </row>
    <row r="890" spans="1:19" x14ac:dyDescent="0.3">
      <c r="A890" s="1">
        <v>45629</v>
      </c>
      <c r="B890" t="s">
        <v>20</v>
      </c>
      <c r="C890" t="s">
        <v>25</v>
      </c>
      <c r="D890">
        <v>1</v>
      </c>
      <c r="E890">
        <v>152.75</v>
      </c>
      <c r="F890" t="s">
        <v>32</v>
      </c>
      <c r="G890" t="s">
        <v>35</v>
      </c>
      <c r="H890">
        <v>0</v>
      </c>
      <c r="I890" t="s">
        <v>42</v>
      </c>
      <c r="J890">
        <v>152.75</v>
      </c>
      <c r="K890" t="s">
        <v>45</v>
      </c>
      <c r="L890" t="s">
        <v>48</v>
      </c>
      <c r="M890">
        <v>1</v>
      </c>
      <c r="N890" t="s">
        <v>939</v>
      </c>
      <c r="O890" t="s">
        <v>2394</v>
      </c>
      <c r="P890">
        <v>9.61</v>
      </c>
      <c r="Q890" s="1">
        <v>45629</v>
      </c>
      <c r="R890" s="1">
        <v>45632</v>
      </c>
      <c r="S890" t="s">
        <v>2923</v>
      </c>
    </row>
    <row r="891" spans="1:19" x14ac:dyDescent="0.3">
      <c r="A891" s="1">
        <v>45575</v>
      </c>
      <c r="B891" t="s">
        <v>20</v>
      </c>
      <c r="C891" t="s">
        <v>27</v>
      </c>
      <c r="D891">
        <v>8</v>
      </c>
      <c r="E891">
        <v>72.48</v>
      </c>
      <c r="F891" t="s">
        <v>32</v>
      </c>
      <c r="G891" t="s">
        <v>35</v>
      </c>
      <c r="H891">
        <v>0.1</v>
      </c>
      <c r="I891" t="s">
        <v>40</v>
      </c>
      <c r="J891">
        <v>521.85599999999999</v>
      </c>
      <c r="K891" t="s">
        <v>46</v>
      </c>
      <c r="M891">
        <v>1</v>
      </c>
      <c r="N891" t="s">
        <v>940</v>
      </c>
      <c r="O891" t="s">
        <v>2395</v>
      </c>
      <c r="P891">
        <v>26.92</v>
      </c>
      <c r="Q891" s="1">
        <v>45575</v>
      </c>
      <c r="R891" s="1">
        <v>45582</v>
      </c>
      <c r="S891" t="s">
        <v>2923</v>
      </c>
    </row>
    <row r="892" spans="1:19" x14ac:dyDescent="0.3">
      <c r="A892" s="1">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1">
        <v>45446</v>
      </c>
      <c r="R892" s="1">
        <v>45450</v>
      </c>
      <c r="S892" t="s">
        <v>2922</v>
      </c>
    </row>
    <row r="893" spans="1:19" x14ac:dyDescent="0.3">
      <c r="A893" s="1">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1">
        <v>45742</v>
      </c>
      <c r="R893" s="1">
        <v>45745</v>
      </c>
      <c r="S893" t="s">
        <v>2923</v>
      </c>
    </row>
    <row r="894" spans="1:19" x14ac:dyDescent="0.3">
      <c r="A894" s="1">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1">
        <v>45408</v>
      </c>
      <c r="R894" s="1">
        <v>45413</v>
      </c>
      <c r="S894" t="s">
        <v>2924</v>
      </c>
    </row>
    <row r="895" spans="1:19" x14ac:dyDescent="0.3">
      <c r="A895" s="1">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1">
        <v>45051</v>
      </c>
      <c r="R895" s="1">
        <v>45059</v>
      </c>
      <c r="S895" t="s">
        <v>2926</v>
      </c>
    </row>
    <row r="896" spans="1:19" x14ac:dyDescent="0.3">
      <c r="A896" s="1">
        <v>45192</v>
      </c>
      <c r="B896" t="s">
        <v>23</v>
      </c>
      <c r="C896" t="s">
        <v>26</v>
      </c>
      <c r="D896">
        <v>7</v>
      </c>
      <c r="E896">
        <v>41.57</v>
      </c>
      <c r="F896" t="s">
        <v>34</v>
      </c>
      <c r="G896" t="s">
        <v>36</v>
      </c>
      <c r="H896">
        <v>0</v>
      </c>
      <c r="I896" t="s">
        <v>40</v>
      </c>
      <c r="J896">
        <v>290.99</v>
      </c>
      <c r="K896" t="s">
        <v>43</v>
      </c>
      <c r="M896">
        <v>0</v>
      </c>
      <c r="N896" t="s">
        <v>945</v>
      </c>
      <c r="O896" t="s">
        <v>2400</v>
      </c>
      <c r="P896">
        <v>16.59</v>
      </c>
      <c r="Q896" s="1">
        <v>45192</v>
      </c>
      <c r="R896" s="1">
        <v>45198</v>
      </c>
      <c r="S896" t="s">
        <v>2926</v>
      </c>
    </row>
    <row r="897" spans="1:19" x14ac:dyDescent="0.3">
      <c r="A897" s="1">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1">
        <v>45724</v>
      </c>
      <c r="R897" s="1">
        <v>45731</v>
      </c>
      <c r="S897" t="s">
        <v>2923</v>
      </c>
    </row>
    <row r="898" spans="1:19" x14ac:dyDescent="0.3">
      <c r="A898" s="1">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1">
        <v>44943</v>
      </c>
      <c r="R898" s="1">
        <v>44953</v>
      </c>
      <c r="S898" t="s">
        <v>2924</v>
      </c>
    </row>
    <row r="899" spans="1:19" x14ac:dyDescent="0.3">
      <c r="A899" s="1">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1">
        <v>45045</v>
      </c>
      <c r="R899" s="1">
        <v>45047</v>
      </c>
      <c r="S899" t="s">
        <v>2925</v>
      </c>
    </row>
    <row r="900" spans="1:19" x14ac:dyDescent="0.3">
      <c r="A900" s="1">
        <v>45704</v>
      </c>
      <c r="B900" t="s">
        <v>20</v>
      </c>
      <c r="C900" t="s">
        <v>30</v>
      </c>
      <c r="D900">
        <v>18</v>
      </c>
      <c r="E900">
        <v>204.58</v>
      </c>
      <c r="F900" t="s">
        <v>33</v>
      </c>
      <c r="G900" t="s">
        <v>36</v>
      </c>
      <c r="H900">
        <v>0.1</v>
      </c>
      <c r="I900" t="s">
        <v>41</v>
      </c>
      <c r="J900">
        <v>3314.1959999999999</v>
      </c>
      <c r="K900" t="s">
        <v>47</v>
      </c>
      <c r="M900">
        <v>0</v>
      </c>
      <c r="N900" t="s">
        <v>949</v>
      </c>
      <c r="O900" t="s">
        <v>2404</v>
      </c>
      <c r="P900">
        <v>16.04</v>
      </c>
      <c r="Q900" s="1">
        <v>45704</v>
      </c>
      <c r="R900" s="1">
        <v>45710</v>
      </c>
      <c r="S900" t="s">
        <v>2923</v>
      </c>
    </row>
    <row r="901" spans="1:19" x14ac:dyDescent="0.3">
      <c r="A901" s="1">
        <v>45082</v>
      </c>
      <c r="B901" t="s">
        <v>19</v>
      </c>
      <c r="C901" t="s">
        <v>30</v>
      </c>
      <c r="D901">
        <v>15</v>
      </c>
      <c r="E901">
        <v>324.58</v>
      </c>
      <c r="F901" t="s">
        <v>32</v>
      </c>
      <c r="G901" t="s">
        <v>36</v>
      </c>
      <c r="H901">
        <v>0.15</v>
      </c>
      <c r="I901" t="s">
        <v>41</v>
      </c>
      <c r="J901">
        <v>4138.3950000000004</v>
      </c>
      <c r="K901" t="s">
        <v>46</v>
      </c>
      <c r="M901">
        <v>0</v>
      </c>
      <c r="N901" t="s">
        <v>950</v>
      </c>
      <c r="O901" t="s">
        <v>2405</v>
      </c>
      <c r="P901">
        <v>24.57</v>
      </c>
      <c r="Q901" s="1">
        <v>45082</v>
      </c>
      <c r="R901" s="1">
        <v>45086</v>
      </c>
      <c r="S901" t="s">
        <v>2922</v>
      </c>
    </row>
    <row r="902" spans="1:19" x14ac:dyDescent="0.3">
      <c r="A902" s="1">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1">
        <v>45166</v>
      </c>
      <c r="R902" s="1">
        <v>45175</v>
      </c>
      <c r="S902" t="s">
        <v>2923</v>
      </c>
    </row>
    <row r="903" spans="1:19" x14ac:dyDescent="0.3">
      <c r="A903" s="1">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1">
        <v>45139</v>
      </c>
      <c r="R903" s="1">
        <v>45148</v>
      </c>
      <c r="S903" t="s">
        <v>2924</v>
      </c>
    </row>
    <row r="904" spans="1:19" x14ac:dyDescent="0.3">
      <c r="A904" s="1">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1">
        <v>45700</v>
      </c>
      <c r="R904" s="1">
        <v>45708</v>
      </c>
      <c r="S904" t="s">
        <v>2926</v>
      </c>
    </row>
    <row r="905" spans="1:19" x14ac:dyDescent="0.3">
      <c r="A905" s="1">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1">
        <v>45110</v>
      </c>
      <c r="R905" s="1">
        <v>45113</v>
      </c>
      <c r="S905" t="s">
        <v>2925</v>
      </c>
    </row>
    <row r="906" spans="1:19" x14ac:dyDescent="0.3">
      <c r="A906" s="1">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1">
        <v>45786</v>
      </c>
      <c r="R906" s="1">
        <v>45790</v>
      </c>
      <c r="S906" t="s">
        <v>2925</v>
      </c>
    </row>
    <row r="907" spans="1:19" x14ac:dyDescent="0.3">
      <c r="A907" s="1">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1">
        <v>45417</v>
      </c>
      <c r="R907" s="1">
        <v>45426</v>
      </c>
      <c r="S907" t="s">
        <v>2926</v>
      </c>
    </row>
    <row r="908" spans="1:19" x14ac:dyDescent="0.3">
      <c r="A908" s="1">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1">
        <v>45299</v>
      </c>
      <c r="R908" s="1">
        <v>45306</v>
      </c>
      <c r="S908" t="s">
        <v>2923</v>
      </c>
    </row>
    <row r="909" spans="1:19" x14ac:dyDescent="0.3">
      <c r="A909" s="1">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1">
        <v>45670</v>
      </c>
      <c r="R909" s="1">
        <v>45674</v>
      </c>
      <c r="S909" t="s">
        <v>2923</v>
      </c>
    </row>
    <row r="910" spans="1:19" x14ac:dyDescent="0.3">
      <c r="A910" s="1">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1">
        <v>45820</v>
      </c>
      <c r="R910" s="1">
        <v>45826</v>
      </c>
      <c r="S910" t="s">
        <v>2922</v>
      </c>
    </row>
    <row r="911" spans="1:19" x14ac:dyDescent="0.3">
      <c r="A911" s="1">
        <v>45750</v>
      </c>
      <c r="B911" t="s">
        <v>21</v>
      </c>
      <c r="C911" t="s">
        <v>24</v>
      </c>
      <c r="D911">
        <v>12</v>
      </c>
      <c r="E911">
        <v>276.42</v>
      </c>
      <c r="F911" t="s">
        <v>33</v>
      </c>
      <c r="G911" t="s">
        <v>36</v>
      </c>
      <c r="H911">
        <v>0.15</v>
      </c>
      <c r="I911" t="s">
        <v>40</v>
      </c>
      <c r="J911">
        <v>2819.4839999999999</v>
      </c>
      <c r="K911" t="s">
        <v>43</v>
      </c>
      <c r="M911">
        <v>0</v>
      </c>
      <c r="N911" t="s">
        <v>960</v>
      </c>
      <c r="O911" t="s">
        <v>2414</v>
      </c>
      <c r="P911">
        <v>30.57</v>
      </c>
      <c r="Q911" s="1">
        <v>45750</v>
      </c>
      <c r="R911" s="1">
        <v>45759</v>
      </c>
      <c r="S911" t="s">
        <v>2924</v>
      </c>
    </row>
    <row r="912" spans="1:19" x14ac:dyDescent="0.3">
      <c r="A912" s="1">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1">
        <v>44952</v>
      </c>
      <c r="R912" s="1">
        <v>44956</v>
      </c>
      <c r="S912" t="s">
        <v>2925</v>
      </c>
    </row>
    <row r="913" spans="1:19" x14ac:dyDescent="0.3">
      <c r="A913" s="1">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1">
        <v>44933</v>
      </c>
      <c r="R913" s="1">
        <v>44937</v>
      </c>
      <c r="S913" t="s">
        <v>2925</v>
      </c>
    </row>
    <row r="914" spans="1:19" x14ac:dyDescent="0.3">
      <c r="A914" s="1">
        <v>45672</v>
      </c>
      <c r="B914" t="s">
        <v>21</v>
      </c>
      <c r="C914" t="s">
        <v>26</v>
      </c>
      <c r="D914">
        <v>18</v>
      </c>
      <c r="E914">
        <v>375.83</v>
      </c>
      <c r="F914" t="s">
        <v>33</v>
      </c>
      <c r="G914" t="s">
        <v>36</v>
      </c>
      <c r="H914">
        <v>0.1</v>
      </c>
      <c r="I914" t="s">
        <v>40</v>
      </c>
      <c r="J914">
        <v>6088.4459999999999</v>
      </c>
      <c r="K914" t="s">
        <v>44</v>
      </c>
      <c r="M914">
        <v>0</v>
      </c>
      <c r="N914" t="s">
        <v>963</v>
      </c>
      <c r="O914" t="s">
        <v>2417</v>
      </c>
      <c r="P914">
        <v>15.13</v>
      </c>
      <c r="Q914" s="1">
        <v>45672</v>
      </c>
      <c r="R914" s="1">
        <v>45680</v>
      </c>
      <c r="S914" t="s">
        <v>2924</v>
      </c>
    </row>
    <row r="915" spans="1:19" x14ac:dyDescent="0.3">
      <c r="A915" s="1">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1">
        <v>45626</v>
      </c>
      <c r="R915" s="1">
        <v>45631</v>
      </c>
      <c r="S915" t="s">
        <v>2922</v>
      </c>
    </row>
    <row r="916" spans="1:19" x14ac:dyDescent="0.3">
      <c r="A916" s="1">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1">
        <v>45348</v>
      </c>
      <c r="R916" s="1">
        <v>45358</v>
      </c>
      <c r="S916" t="s">
        <v>2922</v>
      </c>
    </row>
    <row r="917" spans="1:19" x14ac:dyDescent="0.3">
      <c r="A917" s="1">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1">
        <v>45819</v>
      </c>
      <c r="R917" s="1">
        <v>45823</v>
      </c>
      <c r="S917" t="s">
        <v>2924</v>
      </c>
    </row>
    <row r="918" spans="1:19" x14ac:dyDescent="0.3">
      <c r="A918" s="1">
        <v>45259</v>
      </c>
      <c r="B918" t="s">
        <v>22</v>
      </c>
      <c r="C918" t="s">
        <v>25</v>
      </c>
      <c r="D918">
        <v>11</v>
      </c>
      <c r="E918">
        <v>267.91000000000003</v>
      </c>
      <c r="F918" t="s">
        <v>31</v>
      </c>
      <c r="G918" t="s">
        <v>36</v>
      </c>
      <c r="H918">
        <v>0</v>
      </c>
      <c r="I918" t="s">
        <v>37</v>
      </c>
      <c r="J918">
        <v>2947.01</v>
      </c>
      <c r="K918" t="s">
        <v>46</v>
      </c>
      <c r="M918">
        <v>0</v>
      </c>
      <c r="N918" t="s">
        <v>967</v>
      </c>
      <c r="O918" t="s">
        <v>2421</v>
      </c>
      <c r="P918">
        <v>12.05</v>
      </c>
      <c r="Q918" s="1">
        <v>45259</v>
      </c>
      <c r="R918" s="1">
        <v>45264</v>
      </c>
      <c r="S918" t="s">
        <v>2925</v>
      </c>
    </row>
    <row r="919" spans="1:19" x14ac:dyDescent="0.3">
      <c r="A919" s="1">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1">
        <v>45470</v>
      </c>
      <c r="R919" s="1">
        <v>45478</v>
      </c>
      <c r="S919" t="s">
        <v>2923</v>
      </c>
    </row>
    <row r="920" spans="1:19" x14ac:dyDescent="0.3">
      <c r="A920" s="1">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1">
        <v>45432</v>
      </c>
      <c r="R920" s="1">
        <v>45439</v>
      </c>
      <c r="S920" t="s">
        <v>2923</v>
      </c>
    </row>
    <row r="921" spans="1:19" x14ac:dyDescent="0.3">
      <c r="A921" s="1">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1">
        <v>45094</v>
      </c>
      <c r="R921" s="1">
        <v>45099</v>
      </c>
      <c r="S921" t="s">
        <v>2926</v>
      </c>
    </row>
    <row r="922" spans="1:19" x14ac:dyDescent="0.3">
      <c r="A922" s="1">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1">
        <v>45602</v>
      </c>
      <c r="R922" s="1">
        <v>45609</v>
      </c>
      <c r="S922" t="s">
        <v>2922</v>
      </c>
    </row>
    <row r="923" spans="1:19" x14ac:dyDescent="0.3">
      <c r="A923" s="1">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1">
        <v>45700</v>
      </c>
      <c r="R923" s="1">
        <v>45708</v>
      </c>
      <c r="S923" t="s">
        <v>2924</v>
      </c>
    </row>
    <row r="924" spans="1:19" x14ac:dyDescent="0.3">
      <c r="A924" s="1">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1">
        <v>45756</v>
      </c>
      <c r="R924" s="1">
        <v>45761</v>
      </c>
      <c r="S924" t="s">
        <v>2924</v>
      </c>
    </row>
    <row r="925" spans="1:19" x14ac:dyDescent="0.3">
      <c r="A925" s="1">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1">
        <v>45522</v>
      </c>
      <c r="R925" s="1">
        <v>45530</v>
      </c>
      <c r="S925" t="s">
        <v>2924</v>
      </c>
    </row>
    <row r="926" spans="1:19" x14ac:dyDescent="0.3">
      <c r="A926" s="1">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1">
        <v>44977</v>
      </c>
      <c r="R926" s="1">
        <v>44980</v>
      </c>
      <c r="S926" t="s">
        <v>2925</v>
      </c>
    </row>
    <row r="927" spans="1:19" x14ac:dyDescent="0.3">
      <c r="A927" s="1">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1">
        <v>45775</v>
      </c>
      <c r="R927" s="1">
        <v>45785</v>
      </c>
      <c r="S927" t="s">
        <v>2924</v>
      </c>
    </row>
    <row r="928" spans="1:19" x14ac:dyDescent="0.3">
      <c r="A928" s="1">
        <v>45148</v>
      </c>
      <c r="B928" t="s">
        <v>22</v>
      </c>
      <c r="C928" t="s">
        <v>30</v>
      </c>
      <c r="D928">
        <v>3</v>
      </c>
      <c r="E928">
        <v>59.78</v>
      </c>
      <c r="F928" t="s">
        <v>33</v>
      </c>
      <c r="G928" t="s">
        <v>36</v>
      </c>
      <c r="H928">
        <v>0</v>
      </c>
      <c r="I928" t="s">
        <v>37</v>
      </c>
      <c r="J928">
        <v>179.34</v>
      </c>
      <c r="K928" t="s">
        <v>43</v>
      </c>
      <c r="L928" t="s">
        <v>49</v>
      </c>
      <c r="M928">
        <v>0</v>
      </c>
      <c r="N928" t="s">
        <v>977</v>
      </c>
      <c r="O928" t="s">
        <v>2429</v>
      </c>
      <c r="P928">
        <v>46.98</v>
      </c>
      <c r="Q928" s="1">
        <v>45148</v>
      </c>
      <c r="R928" s="1">
        <v>45151</v>
      </c>
      <c r="S928" t="s">
        <v>2925</v>
      </c>
    </row>
    <row r="929" spans="1:19" x14ac:dyDescent="0.3">
      <c r="A929" s="1">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1">
        <v>45467</v>
      </c>
      <c r="R929" s="1">
        <v>45472</v>
      </c>
      <c r="S929" t="s">
        <v>2924</v>
      </c>
    </row>
    <row r="930" spans="1:19" x14ac:dyDescent="0.3">
      <c r="A930" s="1">
        <v>45144</v>
      </c>
      <c r="B930" t="s">
        <v>22</v>
      </c>
      <c r="C930" t="s">
        <v>30</v>
      </c>
      <c r="D930">
        <v>13</v>
      </c>
      <c r="E930">
        <v>69.97</v>
      </c>
      <c r="F930" t="s">
        <v>32</v>
      </c>
      <c r="G930" t="s">
        <v>35</v>
      </c>
      <c r="H930">
        <v>0.05</v>
      </c>
      <c r="I930" t="s">
        <v>38</v>
      </c>
      <c r="J930">
        <v>864.12950000000001</v>
      </c>
      <c r="K930" t="s">
        <v>46</v>
      </c>
      <c r="M930">
        <v>0</v>
      </c>
      <c r="N930" t="s">
        <v>979</v>
      </c>
      <c r="O930" t="s">
        <v>2431</v>
      </c>
      <c r="P930">
        <v>27.66</v>
      </c>
      <c r="Q930" s="1">
        <v>45144</v>
      </c>
      <c r="R930" s="1">
        <v>45150</v>
      </c>
      <c r="S930" t="s">
        <v>2925</v>
      </c>
    </row>
    <row r="931" spans="1:19" x14ac:dyDescent="0.3">
      <c r="A931" s="1">
        <v>45622</v>
      </c>
      <c r="B931" t="s">
        <v>19</v>
      </c>
      <c r="C931" t="s">
        <v>29</v>
      </c>
      <c r="D931">
        <v>7</v>
      </c>
      <c r="E931">
        <v>438.33</v>
      </c>
      <c r="F931" t="s">
        <v>33</v>
      </c>
      <c r="G931" t="s">
        <v>36</v>
      </c>
      <c r="H931">
        <v>0.1</v>
      </c>
      <c r="I931" t="s">
        <v>39</v>
      </c>
      <c r="J931">
        <v>2761.4789999999998</v>
      </c>
      <c r="K931" t="s">
        <v>47</v>
      </c>
      <c r="M931">
        <v>1</v>
      </c>
      <c r="N931" t="s">
        <v>980</v>
      </c>
      <c r="O931" t="s">
        <v>2100</v>
      </c>
      <c r="P931">
        <v>11.57</v>
      </c>
      <c r="Q931" s="1">
        <v>45622</v>
      </c>
      <c r="R931" s="1">
        <v>45626</v>
      </c>
      <c r="S931" t="s">
        <v>2922</v>
      </c>
    </row>
    <row r="932" spans="1:19" x14ac:dyDescent="0.3">
      <c r="A932" s="1">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1">
        <v>45694</v>
      </c>
      <c r="R932" s="1">
        <v>45698</v>
      </c>
      <c r="S932" t="s">
        <v>2922</v>
      </c>
    </row>
    <row r="933" spans="1:19" x14ac:dyDescent="0.3">
      <c r="A933" s="1">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1">
        <v>45736</v>
      </c>
      <c r="R933" s="1">
        <v>45742</v>
      </c>
      <c r="S933" t="s">
        <v>2922</v>
      </c>
    </row>
    <row r="934" spans="1:19" x14ac:dyDescent="0.3">
      <c r="A934" s="1">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1">
        <v>45545</v>
      </c>
      <c r="R934" s="1">
        <v>45547</v>
      </c>
      <c r="S934" t="s">
        <v>2923</v>
      </c>
    </row>
    <row r="935" spans="1:19" x14ac:dyDescent="0.3">
      <c r="A935" s="1">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1">
        <v>45708</v>
      </c>
      <c r="R935" s="1">
        <v>45718</v>
      </c>
      <c r="S935" t="s">
        <v>2923</v>
      </c>
    </row>
    <row r="936" spans="1:19" x14ac:dyDescent="0.3">
      <c r="A936" s="1">
        <v>44946</v>
      </c>
      <c r="B936" t="s">
        <v>19</v>
      </c>
      <c r="C936" t="s">
        <v>27</v>
      </c>
      <c r="D936">
        <v>15</v>
      </c>
      <c r="E936">
        <v>462.85</v>
      </c>
      <c r="F936" t="s">
        <v>32</v>
      </c>
      <c r="G936" t="s">
        <v>36</v>
      </c>
      <c r="H936">
        <v>0.15</v>
      </c>
      <c r="I936" t="s">
        <v>41</v>
      </c>
      <c r="J936">
        <v>5901.3374999999996</v>
      </c>
      <c r="K936" t="s">
        <v>45</v>
      </c>
      <c r="M936">
        <v>0</v>
      </c>
      <c r="N936" t="s">
        <v>985</v>
      </c>
      <c r="O936" t="s">
        <v>2436</v>
      </c>
      <c r="P936">
        <v>46.12</v>
      </c>
      <c r="Q936" s="1">
        <v>44946</v>
      </c>
      <c r="R936" s="1">
        <v>44952</v>
      </c>
      <c r="S936" t="s">
        <v>2922</v>
      </c>
    </row>
    <row r="937" spans="1:19" x14ac:dyDescent="0.3">
      <c r="A937" s="1">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1">
        <v>45354</v>
      </c>
      <c r="R937" s="1">
        <v>45357</v>
      </c>
      <c r="S937" t="s">
        <v>2922</v>
      </c>
    </row>
    <row r="938" spans="1:19" x14ac:dyDescent="0.3">
      <c r="A938" s="1">
        <v>45257</v>
      </c>
      <c r="B938" t="s">
        <v>23</v>
      </c>
      <c r="C938" t="s">
        <v>30</v>
      </c>
      <c r="D938">
        <v>1</v>
      </c>
      <c r="E938">
        <v>71.239999999999995</v>
      </c>
      <c r="F938" t="s">
        <v>32</v>
      </c>
      <c r="G938" t="s">
        <v>36</v>
      </c>
      <c r="H938">
        <v>0.1</v>
      </c>
      <c r="I938" t="s">
        <v>40</v>
      </c>
      <c r="J938">
        <v>64.116</v>
      </c>
      <c r="K938" t="s">
        <v>46</v>
      </c>
      <c r="M938">
        <v>1</v>
      </c>
      <c r="N938" t="s">
        <v>987</v>
      </c>
      <c r="O938" t="s">
        <v>2438</v>
      </c>
      <c r="P938">
        <v>43.69</v>
      </c>
      <c r="Q938" s="1">
        <v>45257</v>
      </c>
      <c r="R938" s="1">
        <v>45263</v>
      </c>
      <c r="S938" t="s">
        <v>2926</v>
      </c>
    </row>
    <row r="939" spans="1:19" x14ac:dyDescent="0.3">
      <c r="A939" s="1">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1">
        <v>45606</v>
      </c>
      <c r="R939" s="1">
        <v>45614</v>
      </c>
      <c r="S939" t="s">
        <v>2922</v>
      </c>
    </row>
    <row r="940" spans="1:19" x14ac:dyDescent="0.3">
      <c r="A940" s="1">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1">
        <v>45692</v>
      </c>
      <c r="R940" s="1">
        <v>45696</v>
      </c>
      <c r="S940" t="s">
        <v>2925</v>
      </c>
    </row>
    <row r="941" spans="1:19" x14ac:dyDescent="0.3">
      <c r="A941" s="1">
        <v>45343</v>
      </c>
      <c r="B941" t="s">
        <v>19</v>
      </c>
      <c r="C941" t="s">
        <v>26</v>
      </c>
      <c r="D941">
        <v>5</v>
      </c>
      <c r="E941">
        <v>34.06</v>
      </c>
      <c r="F941" t="s">
        <v>34</v>
      </c>
      <c r="G941" t="s">
        <v>35</v>
      </c>
      <c r="H941">
        <v>0.05</v>
      </c>
      <c r="I941" t="s">
        <v>41</v>
      </c>
      <c r="J941">
        <v>161.785</v>
      </c>
      <c r="K941" t="s">
        <v>44</v>
      </c>
      <c r="M941">
        <v>0</v>
      </c>
      <c r="N941" t="s">
        <v>990</v>
      </c>
      <c r="O941" t="s">
        <v>2441</v>
      </c>
      <c r="P941">
        <v>19.72</v>
      </c>
      <c r="Q941" s="1">
        <v>45343</v>
      </c>
      <c r="R941" s="1">
        <v>45353</v>
      </c>
      <c r="S941" t="s">
        <v>2922</v>
      </c>
    </row>
    <row r="942" spans="1:19" x14ac:dyDescent="0.3">
      <c r="A942" s="1">
        <v>45009</v>
      </c>
      <c r="B942" t="s">
        <v>19</v>
      </c>
      <c r="C942" t="s">
        <v>26</v>
      </c>
      <c r="D942">
        <v>17</v>
      </c>
      <c r="E942">
        <v>502.6</v>
      </c>
      <c r="F942" t="s">
        <v>32</v>
      </c>
      <c r="G942" t="s">
        <v>35</v>
      </c>
      <c r="H942">
        <v>0.1</v>
      </c>
      <c r="I942" t="s">
        <v>39</v>
      </c>
      <c r="J942">
        <v>7689.7800000000007</v>
      </c>
      <c r="K942" t="s">
        <v>47</v>
      </c>
      <c r="M942">
        <v>0</v>
      </c>
      <c r="N942" t="s">
        <v>991</v>
      </c>
      <c r="O942" t="s">
        <v>2442</v>
      </c>
      <c r="P942">
        <v>15.38</v>
      </c>
      <c r="Q942" s="1">
        <v>45009</v>
      </c>
      <c r="R942" s="1">
        <v>45014</v>
      </c>
      <c r="S942" t="s">
        <v>2922</v>
      </c>
    </row>
    <row r="943" spans="1:19" x14ac:dyDescent="0.3">
      <c r="A943" s="1">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1">
        <v>45417</v>
      </c>
      <c r="R943" s="1">
        <v>45425</v>
      </c>
      <c r="S943" t="s">
        <v>2923</v>
      </c>
    </row>
    <row r="944" spans="1:19" x14ac:dyDescent="0.3">
      <c r="A944" s="1">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1">
        <v>45569</v>
      </c>
      <c r="R944" s="1">
        <v>45572</v>
      </c>
      <c r="S944" t="s">
        <v>2923</v>
      </c>
    </row>
    <row r="945" spans="1:19" x14ac:dyDescent="0.3">
      <c r="A945" s="1">
        <v>45661</v>
      </c>
      <c r="B945" t="s">
        <v>20</v>
      </c>
      <c r="C945" t="s">
        <v>27</v>
      </c>
      <c r="D945">
        <v>2</v>
      </c>
      <c r="E945">
        <v>194.97</v>
      </c>
      <c r="F945" t="s">
        <v>32</v>
      </c>
      <c r="G945" t="s">
        <v>36</v>
      </c>
      <c r="H945">
        <v>0</v>
      </c>
      <c r="I945" t="s">
        <v>41</v>
      </c>
      <c r="J945">
        <v>389.94</v>
      </c>
      <c r="K945" t="s">
        <v>45</v>
      </c>
      <c r="L945" t="s">
        <v>49</v>
      </c>
      <c r="M945">
        <v>0</v>
      </c>
      <c r="N945" t="s">
        <v>994</v>
      </c>
      <c r="O945" t="s">
        <v>1932</v>
      </c>
      <c r="P945">
        <v>9.89</v>
      </c>
      <c r="Q945" s="1">
        <v>45661</v>
      </c>
      <c r="R945" s="1">
        <v>45671</v>
      </c>
      <c r="S945" t="s">
        <v>2923</v>
      </c>
    </row>
    <row r="946" spans="1:19" x14ac:dyDescent="0.3">
      <c r="A946" s="1">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1">
        <v>45649</v>
      </c>
      <c r="R946" s="1">
        <v>45659</v>
      </c>
      <c r="S946" t="s">
        <v>2925</v>
      </c>
    </row>
    <row r="947" spans="1:19" x14ac:dyDescent="0.3">
      <c r="A947" s="1">
        <v>44955</v>
      </c>
      <c r="B947" t="s">
        <v>22</v>
      </c>
      <c r="C947" t="s">
        <v>24</v>
      </c>
      <c r="D947">
        <v>17</v>
      </c>
      <c r="E947">
        <v>535.88</v>
      </c>
      <c r="F947" t="s">
        <v>32</v>
      </c>
      <c r="G947" t="s">
        <v>35</v>
      </c>
      <c r="H947">
        <v>0.05</v>
      </c>
      <c r="I947" t="s">
        <v>42</v>
      </c>
      <c r="J947">
        <v>8654.4619999999995</v>
      </c>
      <c r="K947" t="s">
        <v>44</v>
      </c>
      <c r="M947">
        <v>0</v>
      </c>
      <c r="N947" t="s">
        <v>996</v>
      </c>
      <c r="O947" t="s">
        <v>2446</v>
      </c>
      <c r="P947">
        <v>26.12</v>
      </c>
      <c r="Q947" s="1">
        <v>44955</v>
      </c>
      <c r="R947" s="1">
        <v>44965</v>
      </c>
      <c r="S947" t="s">
        <v>2925</v>
      </c>
    </row>
    <row r="948" spans="1:19" x14ac:dyDescent="0.3">
      <c r="A948" s="1">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1">
        <v>45515</v>
      </c>
      <c r="R948" s="1">
        <v>45521</v>
      </c>
      <c r="S948" t="s">
        <v>2926</v>
      </c>
    </row>
    <row r="949" spans="1:19" x14ac:dyDescent="0.3">
      <c r="A949" s="1">
        <v>45255</v>
      </c>
      <c r="B949" t="s">
        <v>21</v>
      </c>
      <c r="C949" t="s">
        <v>25</v>
      </c>
      <c r="D949">
        <v>2</v>
      </c>
      <c r="E949">
        <v>482.1</v>
      </c>
      <c r="F949" t="s">
        <v>33</v>
      </c>
      <c r="G949" t="s">
        <v>36</v>
      </c>
      <c r="H949">
        <v>0</v>
      </c>
      <c r="I949" t="s">
        <v>40</v>
      </c>
      <c r="J949">
        <v>964.2</v>
      </c>
      <c r="K949" t="s">
        <v>43</v>
      </c>
      <c r="L949" t="s">
        <v>48</v>
      </c>
      <c r="M949">
        <v>0</v>
      </c>
      <c r="N949" t="s">
        <v>998</v>
      </c>
      <c r="O949" t="s">
        <v>2448</v>
      </c>
      <c r="P949">
        <v>45.35</v>
      </c>
      <c r="Q949" s="1">
        <v>45255</v>
      </c>
      <c r="R949" s="1">
        <v>45260</v>
      </c>
      <c r="S949" t="s">
        <v>2924</v>
      </c>
    </row>
    <row r="950" spans="1:19" x14ac:dyDescent="0.3">
      <c r="A950" s="1">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1">
        <v>45720</v>
      </c>
      <c r="R950" s="1">
        <v>45724</v>
      </c>
      <c r="S950" t="s">
        <v>2924</v>
      </c>
    </row>
    <row r="951" spans="1:19" x14ac:dyDescent="0.3">
      <c r="A951" s="1">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1">
        <v>45709</v>
      </c>
      <c r="R951" s="1">
        <v>45717</v>
      </c>
      <c r="S951" t="s">
        <v>2924</v>
      </c>
    </row>
    <row r="952" spans="1:19" x14ac:dyDescent="0.3">
      <c r="A952" s="1">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1">
        <v>45714</v>
      </c>
      <c r="R952" s="1">
        <v>45716</v>
      </c>
      <c r="S952" t="s">
        <v>2922</v>
      </c>
    </row>
    <row r="953" spans="1:19" x14ac:dyDescent="0.3">
      <c r="A953" s="1">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1">
        <v>45380</v>
      </c>
      <c r="R953" s="1">
        <v>45388</v>
      </c>
      <c r="S953" t="s">
        <v>2922</v>
      </c>
    </row>
    <row r="954" spans="1:19" x14ac:dyDescent="0.3">
      <c r="A954" s="1">
        <v>45805</v>
      </c>
      <c r="B954" t="s">
        <v>23</v>
      </c>
      <c r="C954" t="s">
        <v>26</v>
      </c>
      <c r="D954">
        <v>3</v>
      </c>
      <c r="E954">
        <v>470.09</v>
      </c>
      <c r="F954" t="s">
        <v>31</v>
      </c>
      <c r="G954" t="s">
        <v>35</v>
      </c>
      <c r="H954">
        <v>0</v>
      </c>
      <c r="I954" t="s">
        <v>37</v>
      </c>
      <c r="J954">
        <v>1410.27</v>
      </c>
      <c r="K954" t="s">
        <v>44</v>
      </c>
      <c r="M954">
        <v>0</v>
      </c>
      <c r="N954" t="s">
        <v>1003</v>
      </c>
      <c r="O954" t="s">
        <v>2452</v>
      </c>
      <c r="P954">
        <v>38.29</v>
      </c>
      <c r="Q954" s="1">
        <v>45805</v>
      </c>
      <c r="R954" s="1">
        <v>45809</v>
      </c>
      <c r="S954" t="s">
        <v>2926</v>
      </c>
    </row>
    <row r="955" spans="1:19" x14ac:dyDescent="0.3">
      <c r="A955" s="1">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1">
        <v>45436</v>
      </c>
      <c r="R955" s="1">
        <v>45442</v>
      </c>
      <c r="S955" t="s">
        <v>2926</v>
      </c>
    </row>
    <row r="956" spans="1:19" x14ac:dyDescent="0.3">
      <c r="A956" s="1">
        <v>45058</v>
      </c>
      <c r="B956" t="s">
        <v>20</v>
      </c>
      <c r="C956" t="s">
        <v>27</v>
      </c>
      <c r="D956">
        <v>9</v>
      </c>
      <c r="E956">
        <v>251.43</v>
      </c>
      <c r="F956" t="s">
        <v>33</v>
      </c>
      <c r="G956" t="s">
        <v>36</v>
      </c>
      <c r="H956">
        <v>0.1</v>
      </c>
      <c r="I956" t="s">
        <v>39</v>
      </c>
      <c r="J956">
        <v>2036.5830000000001</v>
      </c>
      <c r="K956" t="s">
        <v>45</v>
      </c>
      <c r="M956">
        <v>0</v>
      </c>
      <c r="N956" t="s">
        <v>1005</v>
      </c>
      <c r="O956" t="s">
        <v>2454</v>
      </c>
      <c r="P956">
        <v>22.57</v>
      </c>
      <c r="Q956" s="1">
        <v>45058</v>
      </c>
      <c r="R956" s="1">
        <v>45063</v>
      </c>
      <c r="S956" t="s">
        <v>2923</v>
      </c>
    </row>
    <row r="957" spans="1:19" x14ac:dyDescent="0.3">
      <c r="A957" s="1">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1">
        <v>45210</v>
      </c>
      <c r="R957" s="1">
        <v>45214</v>
      </c>
      <c r="S957" t="s">
        <v>2923</v>
      </c>
    </row>
    <row r="958" spans="1:19" x14ac:dyDescent="0.3">
      <c r="A958" s="1">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1">
        <v>45316</v>
      </c>
      <c r="R958" s="1">
        <v>45323</v>
      </c>
      <c r="S958" t="s">
        <v>2924</v>
      </c>
    </row>
    <row r="959" spans="1:19" x14ac:dyDescent="0.3">
      <c r="A959" s="1">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1">
        <v>44960</v>
      </c>
      <c r="R959" s="1">
        <v>44963</v>
      </c>
      <c r="S959" t="s">
        <v>2922</v>
      </c>
    </row>
    <row r="960" spans="1:19" x14ac:dyDescent="0.3">
      <c r="A960" s="1">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1">
        <v>45481</v>
      </c>
      <c r="R960" s="1">
        <v>45487</v>
      </c>
      <c r="S960" t="s">
        <v>2924</v>
      </c>
    </row>
    <row r="961" spans="1:19" x14ac:dyDescent="0.3">
      <c r="A961" s="1">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1">
        <v>45808</v>
      </c>
      <c r="R961" s="1">
        <v>45818</v>
      </c>
      <c r="S961" t="s">
        <v>2923</v>
      </c>
    </row>
    <row r="962" spans="1:19" x14ac:dyDescent="0.3">
      <c r="A962" s="1">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1">
        <v>45239</v>
      </c>
      <c r="R962" s="1">
        <v>45242</v>
      </c>
      <c r="S962" t="s">
        <v>2923</v>
      </c>
    </row>
    <row r="963" spans="1:19" x14ac:dyDescent="0.3">
      <c r="A963" s="1">
        <v>45113</v>
      </c>
      <c r="B963" t="s">
        <v>21</v>
      </c>
      <c r="C963" t="s">
        <v>27</v>
      </c>
      <c r="D963">
        <v>8</v>
      </c>
      <c r="E963">
        <v>419.13</v>
      </c>
      <c r="F963" t="s">
        <v>32</v>
      </c>
      <c r="G963" t="s">
        <v>36</v>
      </c>
      <c r="H963">
        <v>0.1</v>
      </c>
      <c r="I963" t="s">
        <v>38</v>
      </c>
      <c r="J963">
        <v>3017.7359999999999</v>
      </c>
      <c r="K963" t="s">
        <v>43</v>
      </c>
      <c r="M963">
        <v>1</v>
      </c>
      <c r="N963" t="s">
        <v>1012</v>
      </c>
      <c r="O963" t="s">
        <v>2459</v>
      </c>
      <c r="P963">
        <v>11.02</v>
      </c>
      <c r="Q963" s="1">
        <v>45113</v>
      </c>
      <c r="R963" s="1">
        <v>45117</v>
      </c>
      <c r="S963" t="s">
        <v>2924</v>
      </c>
    </row>
    <row r="964" spans="1:19" x14ac:dyDescent="0.3">
      <c r="A964" s="1">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1">
        <v>45121</v>
      </c>
      <c r="R964" s="1">
        <v>45129</v>
      </c>
      <c r="S964" t="s">
        <v>2924</v>
      </c>
    </row>
    <row r="965" spans="1:19" x14ac:dyDescent="0.3">
      <c r="A965" s="1">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1">
        <v>45243</v>
      </c>
      <c r="R965" s="1">
        <v>45245</v>
      </c>
      <c r="S965" t="s">
        <v>2926</v>
      </c>
    </row>
    <row r="966" spans="1:19" x14ac:dyDescent="0.3">
      <c r="A966" s="1">
        <v>45690</v>
      </c>
      <c r="B966" t="s">
        <v>23</v>
      </c>
      <c r="C966" t="s">
        <v>29</v>
      </c>
      <c r="D966">
        <v>11</v>
      </c>
      <c r="E966">
        <v>155.49</v>
      </c>
      <c r="F966" t="s">
        <v>34</v>
      </c>
      <c r="G966" t="s">
        <v>36</v>
      </c>
      <c r="H966">
        <v>0.05</v>
      </c>
      <c r="I966" t="s">
        <v>39</v>
      </c>
      <c r="J966">
        <v>1624.8705</v>
      </c>
      <c r="K966" t="s">
        <v>47</v>
      </c>
      <c r="M966">
        <v>0</v>
      </c>
      <c r="N966" t="s">
        <v>1015</v>
      </c>
      <c r="O966" t="s">
        <v>2462</v>
      </c>
      <c r="P966">
        <v>47.01</v>
      </c>
      <c r="Q966" s="1">
        <v>45690</v>
      </c>
      <c r="R966" s="1">
        <v>45700</v>
      </c>
      <c r="S966" t="s">
        <v>2926</v>
      </c>
    </row>
    <row r="967" spans="1:19" x14ac:dyDescent="0.3">
      <c r="A967" s="1">
        <v>45418</v>
      </c>
      <c r="B967" t="s">
        <v>20</v>
      </c>
      <c r="C967" t="s">
        <v>30</v>
      </c>
      <c r="D967">
        <v>20</v>
      </c>
      <c r="E967">
        <v>270.2</v>
      </c>
      <c r="F967" t="s">
        <v>32</v>
      </c>
      <c r="G967" t="s">
        <v>35</v>
      </c>
      <c r="H967">
        <v>0</v>
      </c>
      <c r="I967" t="s">
        <v>41</v>
      </c>
      <c r="J967">
        <v>5404</v>
      </c>
      <c r="K967" t="s">
        <v>45</v>
      </c>
      <c r="L967" t="s">
        <v>50</v>
      </c>
      <c r="M967">
        <v>0</v>
      </c>
      <c r="N967" t="s">
        <v>1016</v>
      </c>
      <c r="O967" t="s">
        <v>2463</v>
      </c>
      <c r="P967">
        <v>6.8</v>
      </c>
      <c r="Q967" s="1">
        <v>45418</v>
      </c>
      <c r="R967" s="1">
        <v>45427</v>
      </c>
      <c r="S967" t="s">
        <v>2923</v>
      </c>
    </row>
    <row r="968" spans="1:19" x14ac:dyDescent="0.3">
      <c r="A968" s="1">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1">
        <v>45582</v>
      </c>
      <c r="R968" s="1">
        <v>45584</v>
      </c>
      <c r="S968" t="s">
        <v>2923</v>
      </c>
    </row>
    <row r="969" spans="1:19" x14ac:dyDescent="0.3">
      <c r="A969" s="1">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1">
        <v>45686</v>
      </c>
      <c r="R969" s="1">
        <v>45693</v>
      </c>
      <c r="S969" t="s">
        <v>2924</v>
      </c>
    </row>
    <row r="970" spans="1:19" x14ac:dyDescent="0.3">
      <c r="A970" s="1">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1">
        <v>45739</v>
      </c>
      <c r="R970" s="1">
        <v>45745</v>
      </c>
      <c r="S970" t="s">
        <v>2925</v>
      </c>
    </row>
    <row r="971" spans="1:19" x14ac:dyDescent="0.3">
      <c r="A971" s="1">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1">
        <v>45393</v>
      </c>
      <c r="R971" s="1">
        <v>45402</v>
      </c>
      <c r="S971" t="s">
        <v>2926</v>
      </c>
    </row>
    <row r="972" spans="1:19" x14ac:dyDescent="0.3">
      <c r="A972" s="1">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1">
        <v>45415</v>
      </c>
      <c r="R972" s="1">
        <v>45424</v>
      </c>
      <c r="S972" t="s">
        <v>2925</v>
      </c>
    </row>
    <row r="973" spans="1:19" x14ac:dyDescent="0.3">
      <c r="A973" s="1">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1">
        <v>45579</v>
      </c>
      <c r="R973" s="1">
        <v>45586</v>
      </c>
      <c r="S973" t="s">
        <v>2922</v>
      </c>
    </row>
    <row r="974" spans="1:19" x14ac:dyDescent="0.3">
      <c r="A974" s="1">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1">
        <v>45330</v>
      </c>
      <c r="R974" s="1">
        <v>45335</v>
      </c>
      <c r="S974" t="s">
        <v>2926</v>
      </c>
    </row>
    <row r="975" spans="1:19" x14ac:dyDescent="0.3">
      <c r="A975" s="1">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1">
        <v>45056</v>
      </c>
      <c r="R975" s="1">
        <v>45059</v>
      </c>
      <c r="S975" t="s">
        <v>2925</v>
      </c>
    </row>
    <row r="976" spans="1:19" x14ac:dyDescent="0.3">
      <c r="A976" s="1">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1">
        <v>44988</v>
      </c>
      <c r="R976" s="1">
        <v>44997</v>
      </c>
      <c r="S976" t="s">
        <v>2924</v>
      </c>
    </row>
    <row r="977" spans="1:19" x14ac:dyDescent="0.3">
      <c r="A977" s="1">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1">
        <v>45798</v>
      </c>
      <c r="R977" s="1">
        <v>45804</v>
      </c>
      <c r="S977" t="s">
        <v>2925</v>
      </c>
    </row>
    <row r="978" spans="1:19" x14ac:dyDescent="0.3">
      <c r="A978" s="1">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1">
        <v>45777</v>
      </c>
      <c r="R978" s="1">
        <v>45784</v>
      </c>
      <c r="S978" t="s">
        <v>2925</v>
      </c>
    </row>
    <row r="979" spans="1:19" x14ac:dyDescent="0.3">
      <c r="A979" s="1">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1">
        <v>45018</v>
      </c>
      <c r="R979" s="1">
        <v>45020</v>
      </c>
      <c r="S979" t="s">
        <v>2924</v>
      </c>
    </row>
    <row r="980" spans="1:19" x14ac:dyDescent="0.3">
      <c r="A980" s="1">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1">
        <v>45530</v>
      </c>
      <c r="R980" s="1">
        <v>45540</v>
      </c>
      <c r="S980" t="s">
        <v>2924</v>
      </c>
    </row>
    <row r="981" spans="1:19" x14ac:dyDescent="0.3">
      <c r="A981" s="1">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1">
        <v>45240</v>
      </c>
      <c r="R981" s="1">
        <v>45250</v>
      </c>
      <c r="S981" t="s">
        <v>2923</v>
      </c>
    </row>
    <row r="982" spans="1:19" x14ac:dyDescent="0.3">
      <c r="A982" s="1">
        <v>45684</v>
      </c>
      <c r="B982" t="s">
        <v>22</v>
      </c>
      <c r="C982" t="s">
        <v>30</v>
      </c>
      <c r="D982">
        <v>20</v>
      </c>
      <c r="E982">
        <v>537.28</v>
      </c>
      <c r="F982" t="s">
        <v>33</v>
      </c>
      <c r="G982" t="s">
        <v>35</v>
      </c>
      <c r="H982">
        <v>0</v>
      </c>
      <c r="I982" t="s">
        <v>39</v>
      </c>
      <c r="J982">
        <v>10745.6</v>
      </c>
      <c r="K982" t="s">
        <v>43</v>
      </c>
      <c r="M982">
        <v>1</v>
      </c>
      <c r="N982" t="s">
        <v>1031</v>
      </c>
      <c r="O982" t="s">
        <v>2475</v>
      </c>
      <c r="P982">
        <v>15.6</v>
      </c>
      <c r="Q982" s="1">
        <v>45684</v>
      </c>
      <c r="R982" s="1">
        <v>45690</v>
      </c>
      <c r="S982" t="s">
        <v>2925</v>
      </c>
    </row>
    <row r="983" spans="1:19" x14ac:dyDescent="0.3">
      <c r="A983" s="1">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1">
        <v>45408</v>
      </c>
      <c r="R983" s="1">
        <v>45412</v>
      </c>
      <c r="S983" t="s">
        <v>2923</v>
      </c>
    </row>
    <row r="984" spans="1:19" x14ac:dyDescent="0.3">
      <c r="A984" s="1">
        <v>45257</v>
      </c>
      <c r="B984" t="s">
        <v>19</v>
      </c>
      <c r="C984" t="s">
        <v>29</v>
      </c>
      <c r="D984">
        <v>9</v>
      </c>
      <c r="E984">
        <v>97.56</v>
      </c>
      <c r="F984" t="s">
        <v>32</v>
      </c>
      <c r="G984" t="s">
        <v>35</v>
      </c>
      <c r="H984">
        <v>0</v>
      </c>
      <c r="I984" t="s">
        <v>38</v>
      </c>
      <c r="J984">
        <v>878.04</v>
      </c>
      <c r="K984" t="s">
        <v>43</v>
      </c>
      <c r="M984">
        <v>0</v>
      </c>
      <c r="N984" t="s">
        <v>1033</v>
      </c>
      <c r="O984" t="s">
        <v>2477</v>
      </c>
      <c r="P984">
        <v>48.84</v>
      </c>
      <c r="Q984" s="1">
        <v>45257</v>
      </c>
      <c r="R984" s="1">
        <v>45261</v>
      </c>
      <c r="S984" t="s">
        <v>2922</v>
      </c>
    </row>
    <row r="985" spans="1:19" x14ac:dyDescent="0.3">
      <c r="A985" s="1">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1">
        <v>45015</v>
      </c>
      <c r="R985" s="1">
        <v>45022</v>
      </c>
      <c r="S985" t="s">
        <v>2925</v>
      </c>
    </row>
    <row r="986" spans="1:19" x14ac:dyDescent="0.3">
      <c r="A986" s="1">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1">
        <v>45355</v>
      </c>
      <c r="R986" s="1">
        <v>45362</v>
      </c>
      <c r="S986" t="s">
        <v>2924</v>
      </c>
    </row>
    <row r="987" spans="1:19" x14ac:dyDescent="0.3">
      <c r="A987" s="1">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1">
        <v>45118</v>
      </c>
      <c r="R987" s="1">
        <v>45122</v>
      </c>
      <c r="S987" t="s">
        <v>2923</v>
      </c>
    </row>
    <row r="988" spans="1:19" x14ac:dyDescent="0.3">
      <c r="A988" s="1">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1">
        <v>45555</v>
      </c>
      <c r="R988" s="1">
        <v>45564</v>
      </c>
      <c r="S988" t="s">
        <v>2926</v>
      </c>
    </row>
    <row r="989" spans="1:19" x14ac:dyDescent="0.3">
      <c r="A989" s="1">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1">
        <v>45706</v>
      </c>
      <c r="R989" s="1">
        <v>45712</v>
      </c>
      <c r="S989" t="s">
        <v>2926</v>
      </c>
    </row>
    <row r="990" spans="1:19" x14ac:dyDescent="0.3">
      <c r="A990" s="1">
        <v>45489</v>
      </c>
      <c r="B990" t="s">
        <v>19</v>
      </c>
      <c r="C990" t="s">
        <v>29</v>
      </c>
      <c r="D990">
        <v>7</v>
      </c>
      <c r="E990">
        <v>498.46</v>
      </c>
      <c r="F990" t="s">
        <v>33</v>
      </c>
      <c r="G990" t="s">
        <v>35</v>
      </c>
      <c r="H990">
        <v>0.15</v>
      </c>
      <c r="I990" t="s">
        <v>40</v>
      </c>
      <c r="J990">
        <v>2965.837</v>
      </c>
      <c r="K990" t="s">
        <v>44</v>
      </c>
      <c r="M990">
        <v>0</v>
      </c>
      <c r="N990" t="s">
        <v>1039</v>
      </c>
      <c r="O990" t="s">
        <v>2483</v>
      </c>
      <c r="P990">
        <v>42.72</v>
      </c>
      <c r="Q990" s="1">
        <v>45489</v>
      </c>
      <c r="R990" s="1">
        <v>45493</v>
      </c>
      <c r="S990" t="s">
        <v>2922</v>
      </c>
    </row>
    <row r="991" spans="1:19" x14ac:dyDescent="0.3">
      <c r="A991" s="1">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1">
        <v>45253</v>
      </c>
      <c r="R991" s="1">
        <v>45255</v>
      </c>
      <c r="S991" t="s">
        <v>2922</v>
      </c>
    </row>
    <row r="992" spans="1:19" x14ac:dyDescent="0.3">
      <c r="A992" s="1">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1">
        <v>45176</v>
      </c>
      <c r="R992" s="1">
        <v>45178</v>
      </c>
      <c r="S992" t="s">
        <v>2923</v>
      </c>
    </row>
    <row r="993" spans="1:19" x14ac:dyDescent="0.3">
      <c r="A993" s="1">
        <v>45323</v>
      </c>
      <c r="B993" t="s">
        <v>23</v>
      </c>
      <c r="C993" t="s">
        <v>28</v>
      </c>
      <c r="D993">
        <v>11</v>
      </c>
      <c r="E993">
        <v>201.09</v>
      </c>
      <c r="F993" t="s">
        <v>33</v>
      </c>
      <c r="G993" t="s">
        <v>36</v>
      </c>
      <c r="H993">
        <v>0.15</v>
      </c>
      <c r="I993" t="s">
        <v>40</v>
      </c>
      <c r="J993">
        <v>1880.1914999999999</v>
      </c>
      <c r="K993" t="s">
        <v>47</v>
      </c>
      <c r="M993">
        <v>1</v>
      </c>
      <c r="N993" t="s">
        <v>1042</v>
      </c>
      <c r="O993" t="s">
        <v>2486</v>
      </c>
      <c r="P993">
        <v>48.42</v>
      </c>
      <c r="Q993" s="1">
        <v>45323</v>
      </c>
      <c r="R993" s="1">
        <v>45326</v>
      </c>
      <c r="S993" t="s">
        <v>2926</v>
      </c>
    </row>
    <row r="994" spans="1:19" x14ac:dyDescent="0.3">
      <c r="A994" s="1">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1">
        <v>45785</v>
      </c>
      <c r="R994" s="1">
        <v>45789</v>
      </c>
      <c r="S994" t="s">
        <v>2923</v>
      </c>
    </row>
    <row r="995" spans="1:19" x14ac:dyDescent="0.3">
      <c r="A995" s="1">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1">
        <v>45674</v>
      </c>
      <c r="R995" s="1">
        <v>45681</v>
      </c>
      <c r="S995" t="s">
        <v>2924</v>
      </c>
    </row>
    <row r="996" spans="1:19" x14ac:dyDescent="0.3">
      <c r="A996" s="1">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1">
        <v>45171</v>
      </c>
      <c r="R996" s="1">
        <v>45177</v>
      </c>
      <c r="S996" t="s">
        <v>2922</v>
      </c>
    </row>
    <row r="997" spans="1:19" x14ac:dyDescent="0.3">
      <c r="A997" s="1">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1">
        <v>45100</v>
      </c>
      <c r="R997" s="1">
        <v>45108</v>
      </c>
      <c r="S997" t="s">
        <v>2925</v>
      </c>
    </row>
    <row r="998" spans="1:19" x14ac:dyDescent="0.3">
      <c r="A998" s="1">
        <v>45311</v>
      </c>
      <c r="B998" t="s">
        <v>19</v>
      </c>
      <c r="C998" t="s">
        <v>24</v>
      </c>
      <c r="D998">
        <v>19</v>
      </c>
      <c r="E998">
        <v>482.07</v>
      </c>
      <c r="F998" t="s">
        <v>31</v>
      </c>
      <c r="G998" t="s">
        <v>35</v>
      </c>
      <c r="H998">
        <v>0.1</v>
      </c>
      <c r="I998" t="s">
        <v>42</v>
      </c>
      <c r="J998">
        <v>8243.3970000000008</v>
      </c>
      <c r="K998" t="s">
        <v>45</v>
      </c>
      <c r="M998">
        <v>0</v>
      </c>
      <c r="N998" t="s">
        <v>1047</v>
      </c>
      <c r="O998" t="s">
        <v>2490</v>
      </c>
      <c r="P998">
        <v>25.96</v>
      </c>
      <c r="Q998" s="1">
        <v>45311</v>
      </c>
      <c r="R998" s="1">
        <v>45317</v>
      </c>
      <c r="S998" t="s">
        <v>2922</v>
      </c>
    </row>
    <row r="999" spans="1:19" x14ac:dyDescent="0.3">
      <c r="A999" s="1">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1">
        <v>45469</v>
      </c>
      <c r="R999" s="1">
        <v>45479</v>
      </c>
      <c r="S999" t="s">
        <v>2922</v>
      </c>
    </row>
    <row r="1000" spans="1:19" x14ac:dyDescent="0.3">
      <c r="A1000" s="1">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1">
        <v>45638</v>
      </c>
      <c r="R1000" s="1">
        <v>45643</v>
      </c>
      <c r="S1000" t="s">
        <v>2925</v>
      </c>
    </row>
    <row r="1001" spans="1:19" x14ac:dyDescent="0.3">
      <c r="A1001" s="1">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1">
        <v>45343</v>
      </c>
      <c r="R1001" s="1">
        <v>45352</v>
      </c>
      <c r="S1001" t="s">
        <v>2922</v>
      </c>
    </row>
    <row r="1002" spans="1:19" x14ac:dyDescent="0.3">
      <c r="A1002" s="1">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1">
        <v>45125</v>
      </c>
      <c r="R1002" s="1">
        <v>45132</v>
      </c>
      <c r="S1002" t="s">
        <v>2922</v>
      </c>
    </row>
    <row r="1003" spans="1:19" x14ac:dyDescent="0.3">
      <c r="A1003" s="1">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1">
        <v>45567</v>
      </c>
      <c r="R1003" s="1">
        <v>45571</v>
      </c>
      <c r="S1003" t="s">
        <v>2924</v>
      </c>
    </row>
    <row r="1004" spans="1:19" x14ac:dyDescent="0.3">
      <c r="A1004" s="1">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1">
        <v>45627</v>
      </c>
      <c r="R1004" s="1">
        <v>45630</v>
      </c>
      <c r="S1004" t="s">
        <v>2926</v>
      </c>
    </row>
    <row r="1005" spans="1:19" x14ac:dyDescent="0.3">
      <c r="A1005" s="1">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1">
        <v>45538</v>
      </c>
      <c r="R1005" s="1">
        <v>45547</v>
      </c>
      <c r="S1005" t="s">
        <v>2922</v>
      </c>
    </row>
    <row r="1006" spans="1:19" x14ac:dyDescent="0.3">
      <c r="A1006" s="1">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1">
        <v>45710</v>
      </c>
      <c r="R1006" s="1">
        <v>45717</v>
      </c>
      <c r="S1006" t="s">
        <v>2926</v>
      </c>
    </row>
    <row r="1007" spans="1:19" x14ac:dyDescent="0.3">
      <c r="A1007" s="1">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1">
        <v>45788</v>
      </c>
      <c r="R1007" s="1">
        <v>45790</v>
      </c>
      <c r="S1007" t="s">
        <v>2926</v>
      </c>
    </row>
    <row r="1008" spans="1:19" x14ac:dyDescent="0.3">
      <c r="A1008" s="1">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1">
        <v>45646</v>
      </c>
      <c r="R1008" s="1">
        <v>45655</v>
      </c>
      <c r="S1008" t="s">
        <v>2925</v>
      </c>
    </row>
    <row r="1009" spans="1:19" x14ac:dyDescent="0.3">
      <c r="A1009" s="1">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1">
        <v>45034</v>
      </c>
      <c r="R1009" s="1">
        <v>45037</v>
      </c>
      <c r="S1009" t="s">
        <v>2922</v>
      </c>
    </row>
    <row r="1010" spans="1:19" x14ac:dyDescent="0.3">
      <c r="A1010" s="1">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1">
        <v>45533</v>
      </c>
      <c r="R1010" s="1">
        <v>45538</v>
      </c>
      <c r="S1010" t="s">
        <v>2922</v>
      </c>
    </row>
    <row r="1011" spans="1:19" x14ac:dyDescent="0.3">
      <c r="A1011" s="1">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1">
        <v>45172</v>
      </c>
      <c r="R1011" s="1">
        <v>45179</v>
      </c>
      <c r="S1011" t="s">
        <v>2924</v>
      </c>
    </row>
    <row r="1012" spans="1:19" x14ac:dyDescent="0.3">
      <c r="A1012" s="1">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1">
        <v>45796</v>
      </c>
      <c r="R1012" s="1">
        <v>45801</v>
      </c>
      <c r="S1012" t="s">
        <v>2922</v>
      </c>
    </row>
    <row r="1013" spans="1:19" x14ac:dyDescent="0.3">
      <c r="A1013" s="1">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1">
        <v>45095</v>
      </c>
      <c r="R1013" s="1">
        <v>45103</v>
      </c>
      <c r="S1013" t="s">
        <v>2922</v>
      </c>
    </row>
    <row r="1014" spans="1:19" x14ac:dyDescent="0.3">
      <c r="A1014" s="1">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1">
        <v>45826</v>
      </c>
      <c r="R1014" s="1">
        <v>45830</v>
      </c>
      <c r="S1014" t="s">
        <v>2926</v>
      </c>
    </row>
    <row r="1015" spans="1:19" x14ac:dyDescent="0.3">
      <c r="A1015" s="1">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1">
        <v>45564</v>
      </c>
      <c r="R1015" s="1">
        <v>45572</v>
      </c>
      <c r="S1015" t="s">
        <v>2923</v>
      </c>
    </row>
    <row r="1016" spans="1:19" x14ac:dyDescent="0.3">
      <c r="A1016" s="1">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1">
        <v>45347</v>
      </c>
      <c r="R1016" s="1">
        <v>45355</v>
      </c>
      <c r="S1016" t="s">
        <v>2922</v>
      </c>
    </row>
    <row r="1017" spans="1:19" x14ac:dyDescent="0.3">
      <c r="A1017" s="1">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1">
        <v>45372</v>
      </c>
      <c r="R1017" s="1">
        <v>45381</v>
      </c>
      <c r="S1017" t="s">
        <v>2924</v>
      </c>
    </row>
    <row r="1018" spans="1:19" x14ac:dyDescent="0.3">
      <c r="A1018" s="1">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1">
        <v>45325</v>
      </c>
      <c r="R1018" s="1">
        <v>45331</v>
      </c>
      <c r="S1018" t="s">
        <v>2924</v>
      </c>
    </row>
    <row r="1019" spans="1:19" x14ac:dyDescent="0.3">
      <c r="A1019" s="1">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1">
        <v>45251</v>
      </c>
      <c r="R1019" s="1">
        <v>45254</v>
      </c>
      <c r="S1019" t="s">
        <v>2923</v>
      </c>
    </row>
    <row r="1020" spans="1:19" x14ac:dyDescent="0.3">
      <c r="A1020" s="1">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1">
        <v>44936</v>
      </c>
      <c r="R1020" s="1">
        <v>44944</v>
      </c>
      <c r="S1020" t="s">
        <v>2926</v>
      </c>
    </row>
    <row r="1021" spans="1:19" x14ac:dyDescent="0.3">
      <c r="A1021" s="1">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1">
        <v>44963</v>
      </c>
      <c r="R1021" s="1">
        <v>44967</v>
      </c>
      <c r="S1021" t="s">
        <v>2925</v>
      </c>
    </row>
    <row r="1022" spans="1:19" x14ac:dyDescent="0.3">
      <c r="A1022" s="1">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1">
        <v>45757</v>
      </c>
      <c r="R1022" s="1">
        <v>45767</v>
      </c>
      <c r="S1022" t="s">
        <v>2924</v>
      </c>
    </row>
    <row r="1023" spans="1:19" x14ac:dyDescent="0.3">
      <c r="A1023" s="1">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1">
        <v>45336</v>
      </c>
      <c r="R1023" s="1">
        <v>45343</v>
      </c>
      <c r="S1023" t="s">
        <v>2922</v>
      </c>
    </row>
    <row r="1024" spans="1:19" x14ac:dyDescent="0.3">
      <c r="A1024" s="1">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1">
        <v>45803</v>
      </c>
      <c r="R1024" s="1">
        <v>45806</v>
      </c>
      <c r="S1024" t="s">
        <v>2922</v>
      </c>
    </row>
    <row r="1025" spans="1:19" x14ac:dyDescent="0.3">
      <c r="A1025" s="1">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1">
        <v>45181</v>
      </c>
      <c r="R1025" s="1">
        <v>45188</v>
      </c>
      <c r="S1025" t="s">
        <v>2926</v>
      </c>
    </row>
    <row r="1026" spans="1:19" x14ac:dyDescent="0.3">
      <c r="A1026" s="1">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1">
        <v>45063</v>
      </c>
      <c r="R1026" s="1">
        <v>45072</v>
      </c>
      <c r="S1026" t="s">
        <v>2922</v>
      </c>
    </row>
    <row r="1027" spans="1:19" x14ac:dyDescent="0.3">
      <c r="A1027" s="1">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1">
        <v>45320</v>
      </c>
      <c r="R1027" s="1">
        <v>45322</v>
      </c>
      <c r="S1027" t="s">
        <v>2926</v>
      </c>
    </row>
    <row r="1028" spans="1:19" x14ac:dyDescent="0.3">
      <c r="A1028" s="1">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1">
        <v>45786</v>
      </c>
      <c r="R1028" s="1">
        <v>45795</v>
      </c>
      <c r="S1028" t="s">
        <v>2924</v>
      </c>
    </row>
    <row r="1029" spans="1:19" x14ac:dyDescent="0.3">
      <c r="A1029" s="1">
        <v>45387</v>
      </c>
      <c r="B1029" t="s">
        <v>19</v>
      </c>
      <c r="C1029" t="s">
        <v>30</v>
      </c>
      <c r="D1029">
        <v>4</v>
      </c>
      <c r="E1029">
        <v>410.59</v>
      </c>
      <c r="F1029" t="s">
        <v>32</v>
      </c>
      <c r="G1029" t="s">
        <v>36</v>
      </c>
      <c r="H1029">
        <v>0</v>
      </c>
      <c r="I1029" t="s">
        <v>37</v>
      </c>
      <c r="J1029">
        <v>1642.36</v>
      </c>
      <c r="K1029" t="s">
        <v>47</v>
      </c>
      <c r="M1029">
        <v>0</v>
      </c>
      <c r="N1029" t="s">
        <v>1078</v>
      </c>
      <c r="O1029" t="s">
        <v>2516</v>
      </c>
      <c r="P1029">
        <v>17.36</v>
      </c>
      <c r="Q1029" s="1">
        <v>45387</v>
      </c>
      <c r="R1029" s="1">
        <v>45391</v>
      </c>
      <c r="S1029" t="s">
        <v>2922</v>
      </c>
    </row>
    <row r="1030" spans="1:19" x14ac:dyDescent="0.3">
      <c r="A1030" s="1">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1">
        <v>45505</v>
      </c>
      <c r="R1030" s="1">
        <v>45514</v>
      </c>
      <c r="S1030" t="s">
        <v>2923</v>
      </c>
    </row>
    <row r="1031" spans="1:19" x14ac:dyDescent="0.3">
      <c r="A1031" s="1">
        <v>45483</v>
      </c>
      <c r="B1031" t="s">
        <v>20</v>
      </c>
      <c r="C1031" t="s">
        <v>27</v>
      </c>
      <c r="D1031">
        <v>20</v>
      </c>
      <c r="E1031">
        <v>150.16</v>
      </c>
      <c r="F1031" t="s">
        <v>33</v>
      </c>
      <c r="G1031" t="s">
        <v>35</v>
      </c>
      <c r="H1031">
        <v>0</v>
      </c>
      <c r="I1031" t="s">
        <v>42</v>
      </c>
      <c r="J1031">
        <v>3003.2</v>
      </c>
      <c r="K1031" t="s">
        <v>47</v>
      </c>
      <c r="M1031">
        <v>0</v>
      </c>
      <c r="N1031" t="s">
        <v>1080</v>
      </c>
      <c r="O1031" t="s">
        <v>2518</v>
      </c>
      <c r="P1031">
        <v>41.66</v>
      </c>
      <c r="Q1031" s="1">
        <v>45483</v>
      </c>
      <c r="R1031" s="1">
        <v>45485</v>
      </c>
      <c r="S1031" t="s">
        <v>2923</v>
      </c>
    </row>
    <row r="1032" spans="1:19" x14ac:dyDescent="0.3">
      <c r="A1032" s="1">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1">
        <v>45458</v>
      </c>
      <c r="R1032" s="1">
        <v>45463</v>
      </c>
      <c r="S1032" t="s">
        <v>2922</v>
      </c>
    </row>
    <row r="1033" spans="1:19" x14ac:dyDescent="0.3">
      <c r="A1033" s="1">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1">
        <v>45434</v>
      </c>
      <c r="R1033" s="1">
        <v>45441</v>
      </c>
      <c r="S1033" t="s">
        <v>2922</v>
      </c>
    </row>
    <row r="1034" spans="1:19" x14ac:dyDescent="0.3">
      <c r="A1034" s="1">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1">
        <v>45305</v>
      </c>
      <c r="R1034" s="1">
        <v>45309</v>
      </c>
      <c r="S1034" t="s">
        <v>2922</v>
      </c>
    </row>
    <row r="1035" spans="1:19" x14ac:dyDescent="0.3">
      <c r="A1035" s="1">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1">
        <v>45596</v>
      </c>
      <c r="R1035" s="1">
        <v>45598</v>
      </c>
      <c r="S1035" t="s">
        <v>2924</v>
      </c>
    </row>
    <row r="1036" spans="1:19" x14ac:dyDescent="0.3">
      <c r="A1036" s="1">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1">
        <v>45405</v>
      </c>
      <c r="R1036" s="1">
        <v>45411</v>
      </c>
      <c r="S1036" t="s">
        <v>2926</v>
      </c>
    </row>
    <row r="1037" spans="1:19" x14ac:dyDescent="0.3">
      <c r="A1037" s="1">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1">
        <v>45091</v>
      </c>
      <c r="R1037" s="1">
        <v>45097</v>
      </c>
      <c r="S1037" t="s">
        <v>2923</v>
      </c>
    </row>
    <row r="1038" spans="1:19" x14ac:dyDescent="0.3">
      <c r="A1038" s="1">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1">
        <v>45350</v>
      </c>
      <c r="R1038" s="1">
        <v>45353</v>
      </c>
      <c r="S1038" t="s">
        <v>2924</v>
      </c>
    </row>
    <row r="1039" spans="1:19" x14ac:dyDescent="0.3">
      <c r="A1039" s="1">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1">
        <v>45462</v>
      </c>
      <c r="R1039" s="1">
        <v>45469</v>
      </c>
      <c r="S1039" t="s">
        <v>2923</v>
      </c>
    </row>
    <row r="1040" spans="1:19" x14ac:dyDescent="0.3">
      <c r="A1040" s="1">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1">
        <v>45003</v>
      </c>
      <c r="R1040" s="1">
        <v>45005</v>
      </c>
      <c r="S1040" t="s">
        <v>2925</v>
      </c>
    </row>
    <row r="1041" spans="1:19" x14ac:dyDescent="0.3">
      <c r="A1041" s="1">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1">
        <v>45006</v>
      </c>
      <c r="R1041" s="1">
        <v>45016</v>
      </c>
      <c r="S1041" t="s">
        <v>2926</v>
      </c>
    </row>
    <row r="1042" spans="1:19" x14ac:dyDescent="0.3">
      <c r="A1042" s="1">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1">
        <v>45440</v>
      </c>
      <c r="R1042" s="1">
        <v>45444</v>
      </c>
      <c r="S1042" t="s">
        <v>2922</v>
      </c>
    </row>
    <row r="1043" spans="1:19" x14ac:dyDescent="0.3">
      <c r="A1043" s="1">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1">
        <v>45012</v>
      </c>
      <c r="R1043" s="1">
        <v>45015</v>
      </c>
      <c r="S1043" t="s">
        <v>2926</v>
      </c>
    </row>
    <row r="1044" spans="1:19" x14ac:dyDescent="0.3">
      <c r="A1044" s="1">
        <v>45096</v>
      </c>
      <c r="B1044" t="s">
        <v>22</v>
      </c>
      <c r="C1044" t="s">
        <v>30</v>
      </c>
      <c r="D1044">
        <v>1</v>
      </c>
      <c r="E1044">
        <v>123.4</v>
      </c>
      <c r="F1044" t="s">
        <v>32</v>
      </c>
      <c r="G1044" t="s">
        <v>36</v>
      </c>
      <c r="H1044">
        <v>0</v>
      </c>
      <c r="I1044" t="s">
        <v>37</v>
      </c>
      <c r="J1044">
        <v>123.4</v>
      </c>
      <c r="K1044" t="s">
        <v>47</v>
      </c>
      <c r="M1044">
        <v>1</v>
      </c>
      <c r="N1044" t="s">
        <v>1093</v>
      </c>
      <c r="O1044" t="s">
        <v>2530</v>
      </c>
      <c r="P1044">
        <v>12.63</v>
      </c>
      <c r="Q1044" s="1">
        <v>45096</v>
      </c>
      <c r="R1044" s="1">
        <v>45102</v>
      </c>
      <c r="S1044" t="s">
        <v>2925</v>
      </c>
    </row>
    <row r="1045" spans="1:19" x14ac:dyDescent="0.3">
      <c r="A1045" s="1">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1">
        <v>45230</v>
      </c>
      <c r="R1045" s="1">
        <v>45237</v>
      </c>
      <c r="S1045" t="s">
        <v>2923</v>
      </c>
    </row>
    <row r="1046" spans="1:19" x14ac:dyDescent="0.3">
      <c r="A1046" s="1">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1">
        <v>45118</v>
      </c>
      <c r="R1046" s="1">
        <v>45125</v>
      </c>
      <c r="S1046" t="s">
        <v>2926</v>
      </c>
    </row>
    <row r="1047" spans="1:19" x14ac:dyDescent="0.3">
      <c r="A1047" s="1">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1">
        <v>45065</v>
      </c>
      <c r="R1047" s="1">
        <v>45074</v>
      </c>
      <c r="S1047" t="s">
        <v>2923</v>
      </c>
    </row>
    <row r="1048" spans="1:19" x14ac:dyDescent="0.3">
      <c r="A1048" s="1">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1">
        <v>45143</v>
      </c>
      <c r="R1048" s="1">
        <v>45148</v>
      </c>
      <c r="S1048" t="s">
        <v>2924</v>
      </c>
    </row>
    <row r="1049" spans="1:19" x14ac:dyDescent="0.3">
      <c r="A1049" s="1">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1">
        <v>45009</v>
      </c>
      <c r="R1049" s="1">
        <v>45019</v>
      </c>
      <c r="S1049" t="s">
        <v>2926</v>
      </c>
    </row>
    <row r="1050" spans="1:19" x14ac:dyDescent="0.3">
      <c r="A1050" s="1">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1">
        <v>45702</v>
      </c>
      <c r="R1050" s="1">
        <v>45705</v>
      </c>
      <c r="S1050" t="s">
        <v>2926</v>
      </c>
    </row>
    <row r="1051" spans="1:19" x14ac:dyDescent="0.3">
      <c r="A1051" s="1">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1">
        <v>45640</v>
      </c>
      <c r="R1051" s="1">
        <v>45642</v>
      </c>
      <c r="S1051" t="s">
        <v>2924</v>
      </c>
    </row>
    <row r="1052" spans="1:19" x14ac:dyDescent="0.3">
      <c r="A1052" s="1">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1">
        <v>45105</v>
      </c>
      <c r="R1052" s="1">
        <v>45108</v>
      </c>
      <c r="S1052" t="s">
        <v>2923</v>
      </c>
    </row>
    <row r="1053" spans="1:19" x14ac:dyDescent="0.3">
      <c r="A1053" s="1">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1">
        <v>44950</v>
      </c>
      <c r="R1053" s="1">
        <v>44954</v>
      </c>
      <c r="S1053" t="s">
        <v>2926</v>
      </c>
    </row>
    <row r="1054" spans="1:19" x14ac:dyDescent="0.3">
      <c r="A1054" s="1">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1">
        <v>45464</v>
      </c>
      <c r="R1054" s="1">
        <v>45473</v>
      </c>
      <c r="S1054" t="s">
        <v>2925</v>
      </c>
    </row>
    <row r="1055" spans="1:19" x14ac:dyDescent="0.3">
      <c r="A1055" s="1">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1">
        <v>45756</v>
      </c>
      <c r="R1055" s="1">
        <v>45765</v>
      </c>
      <c r="S1055" t="s">
        <v>2924</v>
      </c>
    </row>
    <row r="1056" spans="1:19" x14ac:dyDescent="0.3">
      <c r="A1056" s="1">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1">
        <v>45668</v>
      </c>
      <c r="R1056" s="1">
        <v>45676</v>
      </c>
      <c r="S1056" t="s">
        <v>2924</v>
      </c>
    </row>
    <row r="1057" spans="1:19" x14ac:dyDescent="0.3">
      <c r="A1057" s="1">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1">
        <v>45486</v>
      </c>
      <c r="R1057" s="1">
        <v>45493</v>
      </c>
      <c r="S1057" t="s">
        <v>2925</v>
      </c>
    </row>
    <row r="1058" spans="1:19" x14ac:dyDescent="0.3">
      <c r="A1058" s="1">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1">
        <v>45661</v>
      </c>
      <c r="R1058" s="1">
        <v>45667</v>
      </c>
      <c r="S1058" t="s">
        <v>2926</v>
      </c>
    </row>
    <row r="1059" spans="1:19" x14ac:dyDescent="0.3">
      <c r="A1059" s="1">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1">
        <v>45224</v>
      </c>
      <c r="R1059" s="1">
        <v>45230</v>
      </c>
      <c r="S1059" t="s">
        <v>2926</v>
      </c>
    </row>
    <row r="1060" spans="1:19" x14ac:dyDescent="0.3">
      <c r="A1060" s="1">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1">
        <v>45199</v>
      </c>
      <c r="R1060" s="1">
        <v>45201</v>
      </c>
      <c r="S1060" t="s">
        <v>2923</v>
      </c>
    </row>
    <row r="1061" spans="1:19" x14ac:dyDescent="0.3">
      <c r="A1061" s="1">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1">
        <v>45001</v>
      </c>
      <c r="R1061" s="1">
        <v>45011</v>
      </c>
      <c r="S1061" t="s">
        <v>2924</v>
      </c>
    </row>
    <row r="1062" spans="1:19" x14ac:dyDescent="0.3">
      <c r="A1062" s="1">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1">
        <v>45133</v>
      </c>
      <c r="R1062" s="1">
        <v>45140</v>
      </c>
      <c r="S1062" t="s">
        <v>2924</v>
      </c>
    </row>
    <row r="1063" spans="1:19" x14ac:dyDescent="0.3">
      <c r="A1063" s="1">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1">
        <v>45117</v>
      </c>
      <c r="R1063" s="1">
        <v>45126</v>
      </c>
      <c r="S1063" t="s">
        <v>2922</v>
      </c>
    </row>
    <row r="1064" spans="1:19" x14ac:dyDescent="0.3">
      <c r="A1064" s="1">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1">
        <v>45510</v>
      </c>
      <c r="R1064" s="1">
        <v>45520</v>
      </c>
      <c r="S1064" t="s">
        <v>2922</v>
      </c>
    </row>
    <row r="1065" spans="1:19" x14ac:dyDescent="0.3">
      <c r="A1065" s="1">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1">
        <v>45489</v>
      </c>
      <c r="R1065" s="1">
        <v>45492</v>
      </c>
      <c r="S1065" t="s">
        <v>2925</v>
      </c>
    </row>
    <row r="1066" spans="1:19" x14ac:dyDescent="0.3">
      <c r="A1066" s="1">
        <v>45322</v>
      </c>
      <c r="B1066" t="s">
        <v>21</v>
      </c>
      <c r="C1066" t="s">
        <v>30</v>
      </c>
      <c r="D1066">
        <v>5</v>
      </c>
      <c r="E1066">
        <v>232.29</v>
      </c>
      <c r="F1066" t="s">
        <v>32</v>
      </c>
      <c r="G1066" t="s">
        <v>35</v>
      </c>
      <c r="H1066">
        <v>0</v>
      </c>
      <c r="I1066" t="s">
        <v>38</v>
      </c>
      <c r="J1066">
        <v>1161.45</v>
      </c>
      <c r="K1066" t="s">
        <v>43</v>
      </c>
      <c r="M1066">
        <v>1</v>
      </c>
      <c r="N1066" t="s">
        <v>1115</v>
      </c>
      <c r="O1066" t="s">
        <v>2548</v>
      </c>
      <c r="P1066">
        <v>42.38</v>
      </c>
      <c r="Q1066" s="1">
        <v>45322</v>
      </c>
      <c r="R1066" s="1">
        <v>45331</v>
      </c>
      <c r="S1066" t="s">
        <v>2924</v>
      </c>
    </row>
    <row r="1067" spans="1:19" x14ac:dyDescent="0.3">
      <c r="A1067" s="1">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1">
        <v>45038</v>
      </c>
      <c r="R1067" s="1">
        <v>45040</v>
      </c>
      <c r="S1067" t="s">
        <v>2925</v>
      </c>
    </row>
    <row r="1068" spans="1:19" x14ac:dyDescent="0.3">
      <c r="A1068" s="1">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1">
        <v>45692</v>
      </c>
      <c r="R1068" s="1">
        <v>45695</v>
      </c>
      <c r="S1068" t="s">
        <v>2922</v>
      </c>
    </row>
    <row r="1069" spans="1:19" x14ac:dyDescent="0.3">
      <c r="A1069" s="1">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1">
        <v>45529</v>
      </c>
      <c r="R1069" s="1">
        <v>45538</v>
      </c>
      <c r="S1069" t="s">
        <v>2925</v>
      </c>
    </row>
    <row r="1070" spans="1:19" x14ac:dyDescent="0.3">
      <c r="A1070" s="1">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1">
        <v>45168</v>
      </c>
      <c r="R1070" s="1">
        <v>45174</v>
      </c>
      <c r="S1070" t="s">
        <v>2922</v>
      </c>
    </row>
    <row r="1071" spans="1:19" x14ac:dyDescent="0.3">
      <c r="A1071" s="1">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1">
        <v>45175</v>
      </c>
      <c r="R1071" s="1">
        <v>45181</v>
      </c>
      <c r="S1071" t="s">
        <v>2926</v>
      </c>
    </row>
    <row r="1072" spans="1:19" x14ac:dyDescent="0.3">
      <c r="A1072" s="1">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1">
        <v>45790</v>
      </c>
      <c r="R1072" s="1">
        <v>45798</v>
      </c>
      <c r="S1072" t="s">
        <v>2923</v>
      </c>
    </row>
    <row r="1073" spans="1:19" x14ac:dyDescent="0.3">
      <c r="A1073" s="1">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1">
        <v>45228</v>
      </c>
      <c r="R1073" s="1">
        <v>45236</v>
      </c>
      <c r="S1073" t="s">
        <v>2924</v>
      </c>
    </row>
    <row r="1074" spans="1:19" x14ac:dyDescent="0.3">
      <c r="A1074" s="1">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1">
        <v>45455</v>
      </c>
      <c r="R1074" s="1">
        <v>45461</v>
      </c>
      <c r="S1074" t="s">
        <v>2922</v>
      </c>
    </row>
    <row r="1075" spans="1:19" x14ac:dyDescent="0.3">
      <c r="A1075" s="1">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1">
        <v>44959</v>
      </c>
      <c r="R1075" s="1">
        <v>44962</v>
      </c>
      <c r="S1075" t="s">
        <v>2923</v>
      </c>
    </row>
    <row r="1076" spans="1:19" x14ac:dyDescent="0.3">
      <c r="A1076" s="1">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1">
        <v>45050</v>
      </c>
      <c r="R1076" s="1">
        <v>45058</v>
      </c>
      <c r="S1076" t="s">
        <v>2922</v>
      </c>
    </row>
    <row r="1077" spans="1:19" x14ac:dyDescent="0.3">
      <c r="A1077" s="1">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1">
        <v>45070</v>
      </c>
      <c r="R1077" s="1">
        <v>45077</v>
      </c>
      <c r="S1077" t="s">
        <v>2926</v>
      </c>
    </row>
    <row r="1078" spans="1:19" x14ac:dyDescent="0.3">
      <c r="A1078" s="1">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1">
        <v>44960</v>
      </c>
      <c r="R1078" s="1">
        <v>44970</v>
      </c>
      <c r="S1078" t="s">
        <v>2926</v>
      </c>
    </row>
    <row r="1079" spans="1:19" x14ac:dyDescent="0.3">
      <c r="A1079" s="1">
        <v>45285</v>
      </c>
      <c r="B1079" t="s">
        <v>19</v>
      </c>
      <c r="C1079" t="s">
        <v>27</v>
      </c>
      <c r="D1079">
        <v>1</v>
      </c>
      <c r="E1079">
        <v>494.52</v>
      </c>
      <c r="F1079" t="s">
        <v>34</v>
      </c>
      <c r="G1079" t="s">
        <v>36</v>
      </c>
      <c r="H1079">
        <v>0</v>
      </c>
      <c r="I1079" t="s">
        <v>42</v>
      </c>
      <c r="J1079">
        <v>494.52</v>
      </c>
      <c r="K1079" t="s">
        <v>45</v>
      </c>
      <c r="M1079">
        <v>0</v>
      </c>
      <c r="N1079" t="s">
        <v>1128</v>
      </c>
      <c r="O1079" t="s">
        <v>2560</v>
      </c>
      <c r="P1079">
        <v>43.02</v>
      </c>
      <c r="Q1079" s="1">
        <v>45285</v>
      </c>
      <c r="R1079" s="1">
        <v>45293</v>
      </c>
      <c r="S1079" t="s">
        <v>2922</v>
      </c>
    </row>
    <row r="1080" spans="1:19" x14ac:dyDescent="0.3">
      <c r="A1080" s="1">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1">
        <v>45133</v>
      </c>
      <c r="R1080" s="1">
        <v>45139</v>
      </c>
      <c r="S1080" t="s">
        <v>2922</v>
      </c>
    </row>
    <row r="1081" spans="1:19" x14ac:dyDescent="0.3">
      <c r="A1081" s="1">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1">
        <v>45449</v>
      </c>
      <c r="R1081" s="1">
        <v>45458</v>
      </c>
      <c r="S1081" t="s">
        <v>2925</v>
      </c>
    </row>
    <row r="1082" spans="1:19" x14ac:dyDescent="0.3">
      <c r="A1082" s="1">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1">
        <v>45578</v>
      </c>
      <c r="R1082" s="1">
        <v>45583</v>
      </c>
      <c r="S1082" t="s">
        <v>2923</v>
      </c>
    </row>
    <row r="1083" spans="1:19" x14ac:dyDescent="0.3">
      <c r="A1083" s="1">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1">
        <v>45599</v>
      </c>
      <c r="R1083" s="1">
        <v>45609</v>
      </c>
      <c r="S1083" t="s">
        <v>2924</v>
      </c>
    </row>
    <row r="1084" spans="1:19" x14ac:dyDescent="0.3">
      <c r="A1084" s="1">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1">
        <v>45325</v>
      </c>
      <c r="R1084" s="1">
        <v>45333</v>
      </c>
      <c r="S1084" t="s">
        <v>2924</v>
      </c>
    </row>
    <row r="1085" spans="1:19" x14ac:dyDescent="0.3">
      <c r="A1085" s="1">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1">
        <v>44936</v>
      </c>
      <c r="R1085" s="1">
        <v>44939</v>
      </c>
      <c r="S1085" t="s">
        <v>2922</v>
      </c>
    </row>
    <row r="1086" spans="1:19" x14ac:dyDescent="0.3">
      <c r="A1086" s="1">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1">
        <v>45215</v>
      </c>
      <c r="R1086" s="1">
        <v>45221</v>
      </c>
      <c r="S1086" t="s">
        <v>2922</v>
      </c>
    </row>
    <row r="1087" spans="1:19" x14ac:dyDescent="0.3">
      <c r="A1087" s="1">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1">
        <v>45735</v>
      </c>
      <c r="R1087" s="1">
        <v>45740</v>
      </c>
      <c r="S1087" t="s">
        <v>2925</v>
      </c>
    </row>
    <row r="1088" spans="1:19" x14ac:dyDescent="0.3">
      <c r="A1088" s="1">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1">
        <v>45642</v>
      </c>
      <c r="R1088" s="1">
        <v>45645</v>
      </c>
      <c r="S1088" t="s">
        <v>2926</v>
      </c>
    </row>
    <row r="1089" spans="1:19" x14ac:dyDescent="0.3">
      <c r="A1089" s="1">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1">
        <v>45154</v>
      </c>
      <c r="R1089" s="1">
        <v>45158</v>
      </c>
      <c r="S1089" t="s">
        <v>2926</v>
      </c>
    </row>
    <row r="1090" spans="1:19" x14ac:dyDescent="0.3">
      <c r="A1090" s="1">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1">
        <v>44936</v>
      </c>
      <c r="R1090" s="1">
        <v>44946</v>
      </c>
      <c r="S1090" t="s">
        <v>2922</v>
      </c>
    </row>
    <row r="1091" spans="1:19" x14ac:dyDescent="0.3">
      <c r="A1091" s="1">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1">
        <v>45786</v>
      </c>
      <c r="R1091" s="1">
        <v>45795</v>
      </c>
      <c r="S1091" t="s">
        <v>2925</v>
      </c>
    </row>
    <row r="1092" spans="1:19" x14ac:dyDescent="0.3">
      <c r="A1092" s="1">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1">
        <v>45390</v>
      </c>
      <c r="R1092" s="1">
        <v>45398</v>
      </c>
      <c r="S1092" t="s">
        <v>2922</v>
      </c>
    </row>
    <row r="1093" spans="1:19" x14ac:dyDescent="0.3">
      <c r="A1093" s="1">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1">
        <v>45783</v>
      </c>
      <c r="R1093" s="1">
        <v>45792</v>
      </c>
      <c r="S1093" t="s">
        <v>2922</v>
      </c>
    </row>
    <row r="1094" spans="1:19" x14ac:dyDescent="0.3">
      <c r="A1094" s="1">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1">
        <v>45067</v>
      </c>
      <c r="R1094" s="1">
        <v>45075</v>
      </c>
      <c r="S1094" t="s">
        <v>2926</v>
      </c>
    </row>
    <row r="1095" spans="1:19" x14ac:dyDescent="0.3">
      <c r="A1095" s="1">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1">
        <v>45253</v>
      </c>
      <c r="R1095" s="1">
        <v>45260</v>
      </c>
      <c r="S1095" t="s">
        <v>2925</v>
      </c>
    </row>
    <row r="1096" spans="1:19" x14ac:dyDescent="0.3">
      <c r="A1096" s="1">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1">
        <v>45377</v>
      </c>
      <c r="R1096" s="1">
        <v>45387</v>
      </c>
      <c r="S1096" t="s">
        <v>2924</v>
      </c>
    </row>
    <row r="1097" spans="1:19" x14ac:dyDescent="0.3">
      <c r="A1097" s="1">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1">
        <v>45560</v>
      </c>
      <c r="R1097" s="1">
        <v>45567</v>
      </c>
      <c r="S1097" t="s">
        <v>2923</v>
      </c>
    </row>
    <row r="1098" spans="1:19" x14ac:dyDescent="0.3">
      <c r="A1098" s="1">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1">
        <v>45022</v>
      </c>
      <c r="R1098" s="1">
        <v>45026</v>
      </c>
      <c r="S1098" t="s">
        <v>2922</v>
      </c>
    </row>
    <row r="1099" spans="1:19" x14ac:dyDescent="0.3">
      <c r="A1099" s="1">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1">
        <v>45467</v>
      </c>
      <c r="R1099" s="1">
        <v>45469</v>
      </c>
      <c r="S1099" t="s">
        <v>2924</v>
      </c>
    </row>
    <row r="1100" spans="1:19" x14ac:dyDescent="0.3">
      <c r="A1100" s="1">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1">
        <v>45641</v>
      </c>
      <c r="R1100" s="1">
        <v>45649</v>
      </c>
      <c r="S1100" t="s">
        <v>2923</v>
      </c>
    </row>
    <row r="1101" spans="1:19" x14ac:dyDescent="0.3">
      <c r="A1101" s="1">
        <v>45568</v>
      </c>
      <c r="B1101" t="s">
        <v>21</v>
      </c>
      <c r="C1101" t="s">
        <v>26</v>
      </c>
      <c r="D1101">
        <v>19</v>
      </c>
      <c r="E1101">
        <v>25.61</v>
      </c>
      <c r="F1101" t="s">
        <v>31</v>
      </c>
      <c r="G1101" t="s">
        <v>36</v>
      </c>
      <c r="H1101">
        <v>0</v>
      </c>
      <c r="I1101" t="s">
        <v>42</v>
      </c>
      <c r="J1101">
        <v>486.59</v>
      </c>
      <c r="K1101" t="s">
        <v>44</v>
      </c>
      <c r="M1101">
        <v>0</v>
      </c>
      <c r="N1101" t="s">
        <v>1150</v>
      </c>
      <c r="O1101" t="s">
        <v>2048</v>
      </c>
      <c r="P1101">
        <v>30.32</v>
      </c>
      <c r="Q1101" s="1">
        <v>45568</v>
      </c>
      <c r="R1101" s="1">
        <v>45576</v>
      </c>
      <c r="S1101" t="s">
        <v>2924</v>
      </c>
    </row>
    <row r="1102" spans="1:19" x14ac:dyDescent="0.3">
      <c r="A1102" s="1">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1">
        <v>45172</v>
      </c>
      <c r="R1102" s="1">
        <v>45182</v>
      </c>
      <c r="S1102" t="s">
        <v>2923</v>
      </c>
    </row>
    <row r="1103" spans="1:19" x14ac:dyDescent="0.3">
      <c r="A1103" s="1">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1">
        <v>44955</v>
      </c>
      <c r="R1103" s="1">
        <v>44962</v>
      </c>
      <c r="S1103" t="s">
        <v>2924</v>
      </c>
    </row>
    <row r="1104" spans="1:19" x14ac:dyDescent="0.3">
      <c r="A1104" s="1">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1">
        <v>45455</v>
      </c>
      <c r="R1104" s="1">
        <v>45463</v>
      </c>
      <c r="S1104" t="s">
        <v>2924</v>
      </c>
    </row>
    <row r="1105" spans="1:19" x14ac:dyDescent="0.3">
      <c r="A1105" s="1">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1">
        <v>45620</v>
      </c>
      <c r="R1105" s="1">
        <v>45629</v>
      </c>
      <c r="S1105" t="s">
        <v>2924</v>
      </c>
    </row>
    <row r="1106" spans="1:19" x14ac:dyDescent="0.3">
      <c r="A1106" s="1">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1">
        <v>45153</v>
      </c>
      <c r="R1106" s="1">
        <v>45158</v>
      </c>
      <c r="S1106" t="s">
        <v>2926</v>
      </c>
    </row>
    <row r="1107" spans="1:19" x14ac:dyDescent="0.3">
      <c r="A1107" s="1">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1">
        <v>45525</v>
      </c>
      <c r="R1107" s="1">
        <v>45534</v>
      </c>
      <c r="S1107" t="s">
        <v>2925</v>
      </c>
    </row>
    <row r="1108" spans="1:19" x14ac:dyDescent="0.3">
      <c r="A1108" s="1">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1">
        <v>45070</v>
      </c>
      <c r="R1108" s="1">
        <v>45078</v>
      </c>
      <c r="S1108" t="s">
        <v>2926</v>
      </c>
    </row>
    <row r="1109" spans="1:19" x14ac:dyDescent="0.3">
      <c r="A1109" s="1">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1">
        <v>45043</v>
      </c>
      <c r="R1109" s="1">
        <v>45047</v>
      </c>
      <c r="S1109" t="s">
        <v>2926</v>
      </c>
    </row>
    <row r="1110" spans="1:19" x14ac:dyDescent="0.3">
      <c r="A1110" s="1">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1">
        <v>45067</v>
      </c>
      <c r="R1110" s="1">
        <v>45072</v>
      </c>
      <c r="S1110" t="s">
        <v>2922</v>
      </c>
    </row>
    <row r="1111" spans="1:19" x14ac:dyDescent="0.3">
      <c r="A1111" s="1">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1">
        <v>45704</v>
      </c>
      <c r="R1111" s="1">
        <v>45713</v>
      </c>
      <c r="S1111" t="s">
        <v>2922</v>
      </c>
    </row>
    <row r="1112" spans="1:19" x14ac:dyDescent="0.3">
      <c r="A1112" s="1">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1">
        <v>45162</v>
      </c>
      <c r="R1112" s="1">
        <v>45167</v>
      </c>
      <c r="S1112" t="s">
        <v>2922</v>
      </c>
    </row>
    <row r="1113" spans="1:19" x14ac:dyDescent="0.3">
      <c r="A1113" s="1">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1">
        <v>45365</v>
      </c>
      <c r="R1113" s="1">
        <v>45372</v>
      </c>
      <c r="S1113" t="s">
        <v>2922</v>
      </c>
    </row>
    <row r="1114" spans="1:19" x14ac:dyDescent="0.3">
      <c r="A1114" s="1">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1">
        <v>45320</v>
      </c>
      <c r="R1114" s="1">
        <v>45329</v>
      </c>
      <c r="S1114" t="s">
        <v>2924</v>
      </c>
    </row>
    <row r="1115" spans="1:19" x14ac:dyDescent="0.3">
      <c r="A1115" s="1">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1">
        <v>45513</v>
      </c>
      <c r="R1115" s="1">
        <v>45519</v>
      </c>
      <c r="S1115" t="s">
        <v>2923</v>
      </c>
    </row>
    <row r="1116" spans="1:19" x14ac:dyDescent="0.3">
      <c r="A1116" s="1">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1">
        <v>45481</v>
      </c>
      <c r="R1116" s="1">
        <v>45490</v>
      </c>
      <c r="S1116" t="s">
        <v>2924</v>
      </c>
    </row>
    <row r="1117" spans="1:19" x14ac:dyDescent="0.3">
      <c r="A1117" s="1">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1">
        <v>45524</v>
      </c>
      <c r="R1117" s="1">
        <v>45533</v>
      </c>
      <c r="S1117" t="s">
        <v>2924</v>
      </c>
    </row>
    <row r="1118" spans="1:19" x14ac:dyDescent="0.3">
      <c r="A1118" s="1">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1">
        <v>45103</v>
      </c>
      <c r="R1118" s="1">
        <v>45105</v>
      </c>
      <c r="S1118" t="s">
        <v>2925</v>
      </c>
    </row>
    <row r="1119" spans="1:19" x14ac:dyDescent="0.3">
      <c r="A1119" s="1">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1">
        <v>45283</v>
      </c>
      <c r="R1119" s="1">
        <v>45285</v>
      </c>
      <c r="S1119" t="s">
        <v>2922</v>
      </c>
    </row>
    <row r="1120" spans="1:19" x14ac:dyDescent="0.3">
      <c r="A1120" s="1">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1">
        <v>45158</v>
      </c>
      <c r="R1120" s="1">
        <v>45165</v>
      </c>
      <c r="S1120" t="s">
        <v>2925</v>
      </c>
    </row>
    <row r="1121" spans="1:19" x14ac:dyDescent="0.3">
      <c r="A1121" s="1">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1">
        <v>45593</v>
      </c>
      <c r="R1121" s="1">
        <v>45602</v>
      </c>
      <c r="S1121" t="s">
        <v>2926</v>
      </c>
    </row>
    <row r="1122" spans="1:19" x14ac:dyDescent="0.3">
      <c r="A1122" s="1">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1">
        <v>45607</v>
      </c>
      <c r="R1122" s="1">
        <v>45617</v>
      </c>
      <c r="S1122" t="s">
        <v>2922</v>
      </c>
    </row>
    <row r="1123" spans="1:19" x14ac:dyDescent="0.3">
      <c r="A1123" s="1">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1">
        <v>45267</v>
      </c>
      <c r="R1123" s="1">
        <v>45275</v>
      </c>
      <c r="S1123" t="s">
        <v>2926</v>
      </c>
    </row>
    <row r="1124" spans="1:19" x14ac:dyDescent="0.3">
      <c r="A1124" s="1">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1">
        <v>45374</v>
      </c>
      <c r="R1124" s="1">
        <v>45384</v>
      </c>
      <c r="S1124" t="s">
        <v>2926</v>
      </c>
    </row>
    <row r="1125" spans="1:19" x14ac:dyDescent="0.3">
      <c r="A1125" s="1">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1">
        <v>45594</v>
      </c>
      <c r="R1125" s="1">
        <v>45598</v>
      </c>
      <c r="S1125" t="s">
        <v>2926</v>
      </c>
    </row>
    <row r="1126" spans="1:19" x14ac:dyDescent="0.3">
      <c r="A1126" s="1">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1">
        <v>45825</v>
      </c>
      <c r="R1126" s="1">
        <v>45830</v>
      </c>
      <c r="S1126" t="s">
        <v>2922</v>
      </c>
    </row>
    <row r="1127" spans="1:19" x14ac:dyDescent="0.3">
      <c r="A1127" s="1">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1">
        <v>45003</v>
      </c>
      <c r="R1127" s="1">
        <v>45011</v>
      </c>
      <c r="S1127" t="s">
        <v>2924</v>
      </c>
    </row>
    <row r="1128" spans="1:19" x14ac:dyDescent="0.3">
      <c r="A1128" s="1">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1">
        <v>44945</v>
      </c>
      <c r="R1128" s="1">
        <v>44949</v>
      </c>
      <c r="S1128" t="s">
        <v>2922</v>
      </c>
    </row>
    <row r="1129" spans="1:19" x14ac:dyDescent="0.3">
      <c r="A1129" s="1">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1">
        <v>45116</v>
      </c>
      <c r="R1129" s="1">
        <v>45121</v>
      </c>
      <c r="S1129" t="s">
        <v>2926</v>
      </c>
    </row>
    <row r="1130" spans="1:19" x14ac:dyDescent="0.3">
      <c r="A1130" s="1">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1">
        <v>45732</v>
      </c>
      <c r="R1130" s="1">
        <v>45742</v>
      </c>
      <c r="S1130" t="s">
        <v>2922</v>
      </c>
    </row>
    <row r="1131" spans="1:19" x14ac:dyDescent="0.3">
      <c r="A1131" s="1">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1">
        <v>45696</v>
      </c>
      <c r="R1131" s="1">
        <v>45701</v>
      </c>
      <c r="S1131" t="s">
        <v>2924</v>
      </c>
    </row>
    <row r="1132" spans="1:19" x14ac:dyDescent="0.3">
      <c r="A1132" s="1">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1">
        <v>45402</v>
      </c>
      <c r="R1132" s="1">
        <v>45404</v>
      </c>
      <c r="S1132" t="s">
        <v>2923</v>
      </c>
    </row>
    <row r="1133" spans="1:19" x14ac:dyDescent="0.3">
      <c r="A1133" s="1">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1">
        <v>45813</v>
      </c>
      <c r="R1133" s="1">
        <v>45815</v>
      </c>
      <c r="S1133" t="s">
        <v>2922</v>
      </c>
    </row>
    <row r="1134" spans="1:19" x14ac:dyDescent="0.3">
      <c r="A1134" s="1">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1">
        <v>45772</v>
      </c>
      <c r="R1134" s="1">
        <v>45780</v>
      </c>
      <c r="S1134" t="s">
        <v>2923</v>
      </c>
    </row>
    <row r="1135" spans="1:19" x14ac:dyDescent="0.3">
      <c r="A1135" s="1">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1">
        <v>45175</v>
      </c>
      <c r="R1135" s="1">
        <v>45182</v>
      </c>
      <c r="S1135" t="s">
        <v>2925</v>
      </c>
    </row>
    <row r="1136" spans="1:19" x14ac:dyDescent="0.3">
      <c r="A1136" s="1">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1">
        <v>45198</v>
      </c>
      <c r="R1136" s="1">
        <v>45201</v>
      </c>
      <c r="S1136" t="s">
        <v>2922</v>
      </c>
    </row>
    <row r="1137" spans="1:19" x14ac:dyDescent="0.3">
      <c r="A1137" s="1">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1">
        <v>45433</v>
      </c>
      <c r="R1137" s="1">
        <v>45435</v>
      </c>
      <c r="S1137" t="s">
        <v>2925</v>
      </c>
    </row>
    <row r="1138" spans="1:19" x14ac:dyDescent="0.3">
      <c r="A1138" s="1">
        <v>45760</v>
      </c>
      <c r="B1138" t="s">
        <v>23</v>
      </c>
      <c r="C1138" t="s">
        <v>28</v>
      </c>
      <c r="D1138">
        <v>2</v>
      </c>
      <c r="E1138">
        <v>158.99</v>
      </c>
      <c r="F1138" t="s">
        <v>32</v>
      </c>
      <c r="G1138" t="s">
        <v>35</v>
      </c>
      <c r="H1138">
        <v>0</v>
      </c>
      <c r="I1138" t="s">
        <v>42</v>
      </c>
      <c r="J1138">
        <v>317.98</v>
      </c>
      <c r="K1138" t="s">
        <v>43</v>
      </c>
      <c r="M1138">
        <v>0</v>
      </c>
      <c r="N1138" t="s">
        <v>1187</v>
      </c>
      <c r="O1138" t="s">
        <v>2613</v>
      </c>
      <c r="P1138">
        <v>48.32</v>
      </c>
      <c r="Q1138" s="1">
        <v>45760</v>
      </c>
      <c r="R1138" s="1">
        <v>45766</v>
      </c>
      <c r="S1138" t="s">
        <v>2926</v>
      </c>
    </row>
    <row r="1139" spans="1:19" x14ac:dyDescent="0.3">
      <c r="A1139" s="1">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1">
        <v>45612</v>
      </c>
      <c r="R1139" s="1">
        <v>45616</v>
      </c>
      <c r="S1139" t="s">
        <v>2922</v>
      </c>
    </row>
    <row r="1140" spans="1:19" x14ac:dyDescent="0.3">
      <c r="A1140" s="1">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1">
        <v>45493</v>
      </c>
      <c r="R1140" s="1">
        <v>45501</v>
      </c>
      <c r="S1140" t="s">
        <v>2924</v>
      </c>
    </row>
    <row r="1141" spans="1:19" x14ac:dyDescent="0.3">
      <c r="A1141" s="1">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1">
        <v>45066</v>
      </c>
      <c r="R1141" s="1">
        <v>45073</v>
      </c>
      <c r="S1141" t="s">
        <v>2924</v>
      </c>
    </row>
    <row r="1142" spans="1:19" x14ac:dyDescent="0.3">
      <c r="A1142" s="1">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1">
        <v>45221</v>
      </c>
      <c r="R1142" s="1">
        <v>45225</v>
      </c>
      <c r="S1142" t="s">
        <v>2926</v>
      </c>
    </row>
    <row r="1143" spans="1:19" x14ac:dyDescent="0.3">
      <c r="A1143" s="1">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1">
        <v>45795</v>
      </c>
      <c r="R1143" s="1">
        <v>45798</v>
      </c>
      <c r="S1143" t="s">
        <v>2924</v>
      </c>
    </row>
    <row r="1144" spans="1:19" x14ac:dyDescent="0.3">
      <c r="A1144" s="1">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1">
        <v>45354</v>
      </c>
      <c r="R1144" s="1">
        <v>45357</v>
      </c>
      <c r="S1144" t="s">
        <v>2923</v>
      </c>
    </row>
    <row r="1145" spans="1:19" x14ac:dyDescent="0.3">
      <c r="A1145" s="1">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1">
        <v>45130</v>
      </c>
      <c r="R1145" s="1">
        <v>45140</v>
      </c>
      <c r="S1145" t="s">
        <v>2922</v>
      </c>
    </row>
    <row r="1146" spans="1:19" x14ac:dyDescent="0.3">
      <c r="A1146" s="1">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1">
        <v>45697</v>
      </c>
      <c r="R1146" s="1">
        <v>45702</v>
      </c>
      <c r="S1146" t="s">
        <v>2924</v>
      </c>
    </row>
    <row r="1147" spans="1:19" x14ac:dyDescent="0.3">
      <c r="A1147" s="1">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1">
        <v>44943</v>
      </c>
      <c r="R1147" s="1">
        <v>44949</v>
      </c>
      <c r="S1147" t="s">
        <v>2923</v>
      </c>
    </row>
    <row r="1148" spans="1:19" x14ac:dyDescent="0.3">
      <c r="A1148" s="1">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1">
        <v>45186</v>
      </c>
      <c r="R1148" s="1">
        <v>45195</v>
      </c>
      <c r="S1148" t="s">
        <v>2924</v>
      </c>
    </row>
    <row r="1149" spans="1:19" x14ac:dyDescent="0.3">
      <c r="A1149" s="1">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1">
        <v>45703</v>
      </c>
      <c r="R1149" s="1">
        <v>45711</v>
      </c>
      <c r="S1149" t="s">
        <v>2924</v>
      </c>
    </row>
    <row r="1150" spans="1:19" x14ac:dyDescent="0.3">
      <c r="A1150" s="1">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1">
        <v>45206</v>
      </c>
      <c r="R1150" s="1">
        <v>45208</v>
      </c>
      <c r="S1150" t="s">
        <v>2926</v>
      </c>
    </row>
    <row r="1151" spans="1:19" x14ac:dyDescent="0.3">
      <c r="A1151" s="1">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1">
        <v>45146</v>
      </c>
      <c r="R1151" s="1">
        <v>45148</v>
      </c>
      <c r="S1151" t="s">
        <v>2926</v>
      </c>
    </row>
    <row r="1152" spans="1:19" x14ac:dyDescent="0.3">
      <c r="A1152" s="1">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1">
        <v>45159</v>
      </c>
      <c r="R1152" s="1">
        <v>45165</v>
      </c>
      <c r="S1152" t="s">
        <v>2922</v>
      </c>
    </row>
    <row r="1153" spans="1:19" x14ac:dyDescent="0.3">
      <c r="A1153" s="1">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1">
        <v>45480</v>
      </c>
      <c r="R1153" s="1">
        <v>45484</v>
      </c>
      <c r="S1153" t="s">
        <v>2924</v>
      </c>
    </row>
    <row r="1154" spans="1:19" x14ac:dyDescent="0.3">
      <c r="A1154" s="1">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1">
        <v>45674</v>
      </c>
      <c r="R1154" s="1">
        <v>45681</v>
      </c>
      <c r="S1154" t="s">
        <v>2923</v>
      </c>
    </row>
    <row r="1155" spans="1:19" x14ac:dyDescent="0.3">
      <c r="A1155" s="1">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1">
        <v>45266</v>
      </c>
      <c r="R1155" s="1">
        <v>45276</v>
      </c>
      <c r="S1155" t="s">
        <v>2924</v>
      </c>
    </row>
    <row r="1156" spans="1:19" x14ac:dyDescent="0.3">
      <c r="A1156" s="1">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1">
        <v>44986</v>
      </c>
      <c r="R1156" s="1">
        <v>44989</v>
      </c>
      <c r="S1156" t="s">
        <v>2923</v>
      </c>
    </row>
    <row r="1157" spans="1:19" x14ac:dyDescent="0.3">
      <c r="A1157" s="1">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1">
        <v>45699</v>
      </c>
      <c r="R1157" s="1">
        <v>45703</v>
      </c>
      <c r="S1157" t="s">
        <v>2924</v>
      </c>
    </row>
    <row r="1158" spans="1:19" x14ac:dyDescent="0.3">
      <c r="A1158" s="1">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1">
        <v>45097</v>
      </c>
      <c r="R1158" s="1">
        <v>45102</v>
      </c>
      <c r="S1158" t="s">
        <v>2925</v>
      </c>
    </row>
    <row r="1159" spans="1:19" x14ac:dyDescent="0.3">
      <c r="A1159" s="1">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1">
        <v>45351</v>
      </c>
      <c r="R1159" s="1">
        <v>45354</v>
      </c>
      <c r="S1159" t="s">
        <v>2926</v>
      </c>
    </row>
    <row r="1160" spans="1:19" x14ac:dyDescent="0.3">
      <c r="A1160" s="1">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1">
        <v>45838</v>
      </c>
      <c r="R1160" s="1">
        <v>45843</v>
      </c>
      <c r="S1160" t="s">
        <v>2924</v>
      </c>
    </row>
    <row r="1161" spans="1:19" x14ac:dyDescent="0.3">
      <c r="A1161" s="1">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1">
        <v>45523</v>
      </c>
      <c r="R1161" s="1">
        <v>45529</v>
      </c>
      <c r="S1161" t="s">
        <v>2924</v>
      </c>
    </row>
    <row r="1162" spans="1:19" x14ac:dyDescent="0.3">
      <c r="A1162" s="1">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1">
        <v>45306</v>
      </c>
      <c r="R1162" s="1">
        <v>45310</v>
      </c>
      <c r="S1162" t="s">
        <v>2925</v>
      </c>
    </row>
    <row r="1163" spans="1:19" x14ac:dyDescent="0.3">
      <c r="A1163" s="1">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1">
        <v>45512</v>
      </c>
      <c r="R1163" s="1">
        <v>45515</v>
      </c>
      <c r="S1163" t="s">
        <v>2925</v>
      </c>
    </row>
    <row r="1164" spans="1:19" x14ac:dyDescent="0.3">
      <c r="A1164" s="1">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1">
        <v>45570</v>
      </c>
      <c r="R1164" s="1">
        <v>45572</v>
      </c>
      <c r="S1164" t="s">
        <v>2926</v>
      </c>
    </row>
    <row r="1165" spans="1:19" x14ac:dyDescent="0.3">
      <c r="A1165" s="1">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1">
        <v>45304</v>
      </c>
      <c r="R1165" s="1">
        <v>45312</v>
      </c>
      <c r="S1165" t="s">
        <v>2923</v>
      </c>
    </row>
    <row r="1166" spans="1:19" x14ac:dyDescent="0.3">
      <c r="A1166" s="1">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1">
        <v>45014</v>
      </c>
      <c r="R1166" s="1">
        <v>45020</v>
      </c>
      <c r="S1166" t="s">
        <v>2926</v>
      </c>
    </row>
    <row r="1167" spans="1:19" x14ac:dyDescent="0.3">
      <c r="A1167" s="1">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1">
        <v>45218</v>
      </c>
      <c r="R1167" s="1">
        <v>45222</v>
      </c>
      <c r="S1167" t="s">
        <v>2924</v>
      </c>
    </row>
    <row r="1168" spans="1:19" x14ac:dyDescent="0.3">
      <c r="A1168" s="1">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1">
        <v>45222</v>
      </c>
      <c r="R1168" s="1">
        <v>45231</v>
      </c>
      <c r="S1168" t="s">
        <v>2926</v>
      </c>
    </row>
    <row r="1169" spans="1:19" x14ac:dyDescent="0.3">
      <c r="A1169" s="1">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1">
        <v>45009</v>
      </c>
      <c r="R1169" s="1">
        <v>45013</v>
      </c>
      <c r="S1169" t="s">
        <v>2923</v>
      </c>
    </row>
    <row r="1170" spans="1:19" x14ac:dyDescent="0.3">
      <c r="A1170" s="1">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1">
        <v>45513</v>
      </c>
      <c r="R1170" s="1">
        <v>45518</v>
      </c>
      <c r="S1170" t="s">
        <v>2926</v>
      </c>
    </row>
    <row r="1171" spans="1:19" x14ac:dyDescent="0.3">
      <c r="A1171" s="1">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1">
        <v>45042</v>
      </c>
      <c r="R1171" s="1">
        <v>45052</v>
      </c>
      <c r="S1171" t="s">
        <v>2923</v>
      </c>
    </row>
    <row r="1172" spans="1:19" x14ac:dyDescent="0.3">
      <c r="A1172" s="1">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1">
        <v>45355</v>
      </c>
      <c r="R1172" s="1">
        <v>45363</v>
      </c>
      <c r="S1172" t="s">
        <v>2926</v>
      </c>
    </row>
    <row r="1173" spans="1:19" x14ac:dyDescent="0.3">
      <c r="A1173" s="1">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1">
        <v>44971</v>
      </c>
      <c r="R1173" s="1">
        <v>44974</v>
      </c>
      <c r="S1173" t="s">
        <v>2922</v>
      </c>
    </row>
    <row r="1174" spans="1:19" x14ac:dyDescent="0.3">
      <c r="A1174" s="1">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1">
        <v>45044</v>
      </c>
      <c r="R1174" s="1">
        <v>45049</v>
      </c>
      <c r="S1174" t="s">
        <v>2926</v>
      </c>
    </row>
    <row r="1175" spans="1:19" x14ac:dyDescent="0.3">
      <c r="A1175" s="1">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1">
        <v>45354</v>
      </c>
      <c r="R1175" s="1">
        <v>45362</v>
      </c>
      <c r="S1175" t="s">
        <v>2924</v>
      </c>
    </row>
    <row r="1176" spans="1:19" x14ac:dyDescent="0.3">
      <c r="A1176" s="1">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1">
        <v>45539</v>
      </c>
      <c r="R1176" s="1">
        <v>45543</v>
      </c>
      <c r="S1176" t="s">
        <v>2926</v>
      </c>
    </row>
    <row r="1177" spans="1:19" x14ac:dyDescent="0.3">
      <c r="A1177" s="1">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1">
        <v>45656</v>
      </c>
      <c r="R1177" s="1">
        <v>45664</v>
      </c>
      <c r="S1177" t="s">
        <v>2922</v>
      </c>
    </row>
    <row r="1178" spans="1:19" x14ac:dyDescent="0.3">
      <c r="A1178" s="1">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1">
        <v>45332</v>
      </c>
      <c r="R1178" s="1">
        <v>45338</v>
      </c>
      <c r="S1178" t="s">
        <v>2922</v>
      </c>
    </row>
    <row r="1179" spans="1:19" x14ac:dyDescent="0.3">
      <c r="A1179" s="1">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1">
        <v>45176</v>
      </c>
      <c r="R1179" s="1">
        <v>45184</v>
      </c>
      <c r="S1179" t="s">
        <v>2925</v>
      </c>
    </row>
    <row r="1180" spans="1:19" x14ac:dyDescent="0.3">
      <c r="A1180" s="1">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1">
        <v>45149</v>
      </c>
      <c r="R1180" s="1">
        <v>45153</v>
      </c>
      <c r="S1180" t="s">
        <v>2922</v>
      </c>
    </row>
    <row r="1181" spans="1:19" x14ac:dyDescent="0.3">
      <c r="A1181" s="1">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1">
        <v>44997</v>
      </c>
      <c r="R1181" s="1">
        <v>45001</v>
      </c>
      <c r="S1181" t="s">
        <v>2926</v>
      </c>
    </row>
    <row r="1182" spans="1:19" x14ac:dyDescent="0.3">
      <c r="A1182" s="1">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1">
        <v>45014</v>
      </c>
      <c r="R1182" s="1">
        <v>45016</v>
      </c>
      <c r="S1182" t="s">
        <v>2925</v>
      </c>
    </row>
    <row r="1183" spans="1:19" x14ac:dyDescent="0.3">
      <c r="A1183" s="1">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1">
        <v>45705</v>
      </c>
      <c r="R1183" s="1">
        <v>45715</v>
      </c>
      <c r="S1183" t="s">
        <v>2923</v>
      </c>
    </row>
    <row r="1184" spans="1:19" x14ac:dyDescent="0.3">
      <c r="A1184" s="1">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1">
        <v>45298</v>
      </c>
      <c r="R1184" s="1">
        <v>45306</v>
      </c>
      <c r="S1184" t="s">
        <v>2924</v>
      </c>
    </row>
    <row r="1185" spans="1:19" x14ac:dyDescent="0.3">
      <c r="A1185" s="1">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1">
        <v>44940</v>
      </c>
      <c r="R1185" s="1">
        <v>44946</v>
      </c>
      <c r="S1185" t="s">
        <v>2922</v>
      </c>
    </row>
    <row r="1186" spans="1:19" x14ac:dyDescent="0.3">
      <c r="A1186" s="1">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1">
        <v>45294</v>
      </c>
      <c r="R1186" s="1">
        <v>45303</v>
      </c>
      <c r="S1186" t="s">
        <v>2926</v>
      </c>
    </row>
    <row r="1187" spans="1:19" x14ac:dyDescent="0.3">
      <c r="A1187" s="1">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1">
        <v>45163</v>
      </c>
      <c r="R1187" s="1">
        <v>45166</v>
      </c>
      <c r="S1187" t="s">
        <v>2923</v>
      </c>
    </row>
    <row r="1188" spans="1:19" x14ac:dyDescent="0.3">
      <c r="A1188" s="1">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1">
        <v>45793</v>
      </c>
      <c r="R1188" s="1">
        <v>45802</v>
      </c>
      <c r="S1188" t="s">
        <v>2924</v>
      </c>
    </row>
    <row r="1189" spans="1:19" x14ac:dyDescent="0.3">
      <c r="A1189" s="1">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1">
        <v>45290</v>
      </c>
      <c r="R1189" s="1">
        <v>45294</v>
      </c>
      <c r="S1189" t="s">
        <v>2923</v>
      </c>
    </row>
    <row r="1190" spans="1:19" x14ac:dyDescent="0.3">
      <c r="A1190" s="1">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1">
        <v>45571</v>
      </c>
      <c r="R1190" s="1">
        <v>45574</v>
      </c>
      <c r="S1190" t="s">
        <v>2923</v>
      </c>
    </row>
    <row r="1191" spans="1:19" x14ac:dyDescent="0.3">
      <c r="A1191" s="1">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1">
        <v>44997</v>
      </c>
      <c r="R1191" s="1">
        <v>45007</v>
      </c>
      <c r="S1191" t="s">
        <v>2925</v>
      </c>
    </row>
    <row r="1192" spans="1:19" x14ac:dyDescent="0.3">
      <c r="A1192" s="1">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1">
        <v>45388</v>
      </c>
      <c r="R1192" s="1">
        <v>45390</v>
      </c>
      <c r="S1192" t="s">
        <v>2924</v>
      </c>
    </row>
    <row r="1193" spans="1:19" x14ac:dyDescent="0.3">
      <c r="A1193" s="1">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1">
        <v>44946</v>
      </c>
      <c r="R1193" s="1">
        <v>44951</v>
      </c>
      <c r="S1193" t="s">
        <v>2924</v>
      </c>
    </row>
    <row r="1194" spans="1:19" x14ac:dyDescent="0.3">
      <c r="A1194" s="1">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1">
        <v>45481</v>
      </c>
      <c r="R1194" s="1">
        <v>45485</v>
      </c>
      <c r="S1194" t="s">
        <v>2926</v>
      </c>
    </row>
    <row r="1195" spans="1:19" x14ac:dyDescent="0.3">
      <c r="A1195" s="1">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1">
        <v>45205</v>
      </c>
      <c r="R1195" s="1">
        <v>45215</v>
      </c>
      <c r="S1195" t="s">
        <v>2924</v>
      </c>
    </row>
    <row r="1196" spans="1:19" x14ac:dyDescent="0.3">
      <c r="A1196" s="1">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1">
        <v>45180</v>
      </c>
      <c r="R1196" s="1">
        <v>45187</v>
      </c>
      <c r="S1196" t="s">
        <v>2922</v>
      </c>
    </row>
    <row r="1197" spans="1:19" x14ac:dyDescent="0.3">
      <c r="A1197" s="1">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1">
        <v>45183</v>
      </c>
      <c r="R1197" s="1">
        <v>45188</v>
      </c>
      <c r="S1197" t="s">
        <v>2924</v>
      </c>
    </row>
    <row r="1198" spans="1:19" x14ac:dyDescent="0.3">
      <c r="A1198" s="1">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1">
        <v>45236</v>
      </c>
      <c r="R1198" s="1">
        <v>45241</v>
      </c>
      <c r="S1198" t="s">
        <v>2924</v>
      </c>
    </row>
    <row r="1199" spans="1:19" x14ac:dyDescent="0.3">
      <c r="A1199" s="1">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1">
        <v>45466</v>
      </c>
      <c r="R1199" s="1">
        <v>45473</v>
      </c>
      <c r="S1199" t="s">
        <v>2924</v>
      </c>
    </row>
    <row r="1200" spans="1:19" x14ac:dyDescent="0.3">
      <c r="A1200" s="1">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1">
        <v>45015</v>
      </c>
      <c r="R1200" s="1">
        <v>45025</v>
      </c>
      <c r="S1200" t="s">
        <v>2926</v>
      </c>
    </row>
    <row r="1201" spans="1:19" x14ac:dyDescent="0.3">
      <c r="A1201" s="1">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1">
        <v>45570</v>
      </c>
      <c r="R1201" s="1">
        <v>45580</v>
      </c>
      <c r="S1201" t="s">
        <v>2922</v>
      </c>
    </row>
    <row r="1202" spans="1:19" x14ac:dyDescent="0.3">
      <c r="A1202" s="1">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1">
        <v>45004</v>
      </c>
      <c r="R1202" s="1">
        <v>45014</v>
      </c>
      <c r="S1202" t="s">
        <v>2925</v>
      </c>
    </row>
    <row r="1203" spans="1:19" x14ac:dyDescent="0.3">
      <c r="A1203" s="1">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1">
        <v>45733</v>
      </c>
      <c r="R1203" s="1">
        <v>45737</v>
      </c>
      <c r="S1203" t="s">
        <v>2924</v>
      </c>
    </row>
    <row r="1204" spans="1:19" x14ac:dyDescent="0.3">
      <c r="A1204" s="1">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1">
        <v>45644</v>
      </c>
      <c r="R1204" s="1">
        <v>45654</v>
      </c>
      <c r="S1204" t="s">
        <v>2925</v>
      </c>
    </row>
    <row r="1205" spans="1:19" x14ac:dyDescent="0.3">
      <c r="A1205" s="1">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1">
        <v>45663</v>
      </c>
      <c r="R1205" s="1">
        <v>45665</v>
      </c>
      <c r="S1205" t="s">
        <v>2926</v>
      </c>
    </row>
    <row r="1206" spans="1:19" x14ac:dyDescent="0.3">
      <c r="A1206" s="1">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1">
        <v>45671</v>
      </c>
      <c r="R1206" s="1">
        <v>45677</v>
      </c>
      <c r="S1206" t="s">
        <v>2925</v>
      </c>
    </row>
    <row r="1207" spans="1:19" x14ac:dyDescent="0.3">
      <c r="A1207" s="1">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1">
        <v>44952</v>
      </c>
      <c r="R1207" s="1">
        <v>44956</v>
      </c>
      <c r="S1207" t="s">
        <v>2923</v>
      </c>
    </row>
    <row r="1208" spans="1:19" x14ac:dyDescent="0.3">
      <c r="A1208" s="1">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1">
        <v>45508</v>
      </c>
      <c r="R1208" s="1">
        <v>45518</v>
      </c>
      <c r="S1208" t="s">
        <v>2924</v>
      </c>
    </row>
    <row r="1209" spans="1:19" x14ac:dyDescent="0.3">
      <c r="A1209" s="1">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1">
        <v>45335</v>
      </c>
      <c r="R1209" s="1">
        <v>45338</v>
      </c>
      <c r="S1209" t="s">
        <v>2924</v>
      </c>
    </row>
    <row r="1210" spans="1:19" x14ac:dyDescent="0.3">
      <c r="A1210" s="1">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1">
        <v>44968</v>
      </c>
      <c r="R1210" s="1">
        <v>44971</v>
      </c>
      <c r="S1210" t="s">
        <v>2925</v>
      </c>
    </row>
    <row r="1211" spans="1:19" x14ac:dyDescent="0.3">
      <c r="A1211" s="1">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1">
        <v>45460</v>
      </c>
      <c r="R1211" s="1">
        <v>45465</v>
      </c>
      <c r="S1211" t="s">
        <v>2922</v>
      </c>
    </row>
    <row r="1212" spans="1:19" x14ac:dyDescent="0.3">
      <c r="A1212" s="1">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1">
        <v>45449</v>
      </c>
      <c r="R1212" s="1">
        <v>45455</v>
      </c>
      <c r="S1212" t="s">
        <v>2923</v>
      </c>
    </row>
    <row r="1213" spans="1:19" x14ac:dyDescent="0.3">
      <c r="A1213" s="1">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1">
        <v>45256</v>
      </c>
      <c r="R1213" s="1">
        <v>45262</v>
      </c>
      <c r="S1213" t="s">
        <v>2923</v>
      </c>
    </row>
    <row r="1214" spans="1:19" x14ac:dyDescent="0.3">
      <c r="A1214" s="1">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1">
        <v>45389</v>
      </c>
      <c r="R1214" s="1">
        <v>45391</v>
      </c>
      <c r="S1214" t="s">
        <v>2926</v>
      </c>
    </row>
    <row r="1215" spans="1:19" x14ac:dyDescent="0.3">
      <c r="A1215" s="1">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1">
        <v>44960</v>
      </c>
      <c r="R1215" s="1">
        <v>44966</v>
      </c>
      <c r="S1215" t="s">
        <v>2926</v>
      </c>
    </row>
    <row r="1216" spans="1:19" x14ac:dyDescent="0.3">
      <c r="A1216" s="1">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1">
        <v>45621</v>
      </c>
      <c r="R1216" s="1">
        <v>45626</v>
      </c>
      <c r="S1216" t="s">
        <v>2922</v>
      </c>
    </row>
    <row r="1217" spans="1:19" x14ac:dyDescent="0.3">
      <c r="A1217" s="1">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1">
        <v>45473</v>
      </c>
      <c r="R1217" s="1">
        <v>45476</v>
      </c>
      <c r="S1217" t="s">
        <v>2924</v>
      </c>
    </row>
    <row r="1218" spans="1:19" x14ac:dyDescent="0.3">
      <c r="A1218" s="1">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1">
        <v>45140</v>
      </c>
      <c r="R1218" s="1">
        <v>45149</v>
      </c>
      <c r="S1218" t="s">
        <v>2923</v>
      </c>
    </row>
    <row r="1219" spans="1:19" x14ac:dyDescent="0.3">
      <c r="A1219" s="1">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1">
        <v>45344</v>
      </c>
      <c r="R1219" s="1">
        <v>45349</v>
      </c>
      <c r="S1219" t="s">
        <v>2923</v>
      </c>
    </row>
    <row r="1220" spans="1:19" x14ac:dyDescent="0.3">
      <c r="A1220" s="1">
        <v>45625</v>
      </c>
      <c r="B1220" t="s">
        <v>21</v>
      </c>
      <c r="C1220" t="s">
        <v>28</v>
      </c>
      <c r="D1220">
        <v>15</v>
      </c>
      <c r="E1220">
        <v>570</v>
      </c>
      <c r="F1220" t="s">
        <v>34</v>
      </c>
      <c r="G1220" t="s">
        <v>35</v>
      </c>
      <c r="H1220">
        <v>0.05</v>
      </c>
      <c r="I1220" t="s">
        <v>39</v>
      </c>
      <c r="J1220">
        <v>8122.5</v>
      </c>
      <c r="K1220" t="s">
        <v>44</v>
      </c>
      <c r="M1220">
        <v>0</v>
      </c>
      <c r="N1220" t="s">
        <v>1269</v>
      </c>
      <c r="O1220" t="s">
        <v>2688</v>
      </c>
      <c r="P1220">
        <v>7.62</v>
      </c>
      <c r="Q1220" s="1">
        <v>45625</v>
      </c>
      <c r="R1220" s="1">
        <v>45635</v>
      </c>
      <c r="S1220" t="s">
        <v>2924</v>
      </c>
    </row>
    <row r="1221" spans="1:19" x14ac:dyDescent="0.3">
      <c r="A1221" s="1">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1">
        <v>45128</v>
      </c>
      <c r="R1221" s="1">
        <v>45138</v>
      </c>
      <c r="S1221" t="s">
        <v>2924</v>
      </c>
    </row>
    <row r="1222" spans="1:19" x14ac:dyDescent="0.3">
      <c r="A1222" s="1">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1">
        <v>45030</v>
      </c>
      <c r="R1222" s="1">
        <v>45033</v>
      </c>
      <c r="S1222" t="s">
        <v>2925</v>
      </c>
    </row>
    <row r="1223" spans="1:19" x14ac:dyDescent="0.3">
      <c r="A1223" s="1">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1">
        <v>44958</v>
      </c>
      <c r="R1223" s="1">
        <v>44962</v>
      </c>
      <c r="S1223" t="s">
        <v>2924</v>
      </c>
    </row>
    <row r="1224" spans="1:19" x14ac:dyDescent="0.3">
      <c r="A1224" s="1">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1">
        <v>45473</v>
      </c>
      <c r="R1224" s="1">
        <v>45478</v>
      </c>
      <c r="S1224" t="s">
        <v>2922</v>
      </c>
    </row>
    <row r="1225" spans="1:19" x14ac:dyDescent="0.3">
      <c r="A1225" s="1">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1">
        <v>45217</v>
      </c>
      <c r="R1225" s="1">
        <v>45220</v>
      </c>
      <c r="S1225" t="s">
        <v>2925</v>
      </c>
    </row>
    <row r="1226" spans="1:19" x14ac:dyDescent="0.3">
      <c r="A1226" s="1">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1">
        <v>45477</v>
      </c>
      <c r="R1226" s="1">
        <v>45486</v>
      </c>
      <c r="S1226" t="s">
        <v>2922</v>
      </c>
    </row>
    <row r="1227" spans="1:19" x14ac:dyDescent="0.3">
      <c r="A1227" s="1">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1">
        <v>45477</v>
      </c>
      <c r="R1227" s="1">
        <v>45485</v>
      </c>
      <c r="S1227" t="s">
        <v>2922</v>
      </c>
    </row>
    <row r="1228" spans="1:19" x14ac:dyDescent="0.3">
      <c r="A1228" s="1">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1">
        <v>45134</v>
      </c>
      <c r="R1228" s="1">
        <v>45140</v>
      </c>
      <c r="S1228" t="s">
        <v>2924</v>
      </c>
    </row>
    <row r="1229" spans="1:19" x14ac:dyDescent="0.3">
      <c r="A1229" s="1">
        <v>45717</v>
      </c>
      <c r="B1229" t="s">
        <v>23</v>
      </c>
      <c r="C1229" t="s">
        <v>26</v>
      </c>
      <c r="D1229">
        <v>4</v>
      </c>
      <c r="E1229">
        <v>209.3</v>
      </c>
      <c r="F1229" t="s">
        <v>31</v>
      </c>
      <c r="G1229" t="s">
        <v>36</v>
      </c>
      <c r="H1229">
        <v>0.05</v>
      </c>
      <c r="I1229" t="s">
        <v>38</v>
      </c>
      <c r="J1229">
        <v>795.34</v>
      </c>
      <c r="K1229" t="s">
        <v>44</v>
      </c>
      <c r="M1229">
        <v>0</v>
      </c>
      <c r="N1229" t="s">
        <v>1278</v>
      </c>
      <c r="O1229" t="s">
        <v>2697</v>
      </c>
      <c r="P1229">
        <v>6.89</v>
      </c>
      <c r="Q1229" s="1">
        <v>45717</v>
      </c>
      <c r="R1229" s="1">
        <v>45722</v>
      </c>
      <c r="S1229" t="s">
        <v>2926</v>
      </c>
    </row>
    <row r="1230" spans="1:19" x14ac:dyDescent="0.3">
      <c r="A1230" s="1">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1">
        <v>44980</v>
      </c>
      <c r="R1230" s="1">
        <v>44982</v>
      </c>
      <c r="S1230" t="s">
        <v>2925</v>
      </c>
    </row>
    <row r="1231" spans="1:19" x14ac:dyDescent="0.3">
      <c r="A1231" s="1">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1">
        <v>44937</v>
      </c>
      <c r="R1231" s="1">
        <v>44946</v>
      </c>
      <c r="S1231" t="s">
        <v>2922</v>
      </c>
    </row>
    <row r="1232" spans="1:19" x14ac:dyDescent="0.3">
      <c r="A1232" s="1">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1">
        <v>45398</v>
      </c>
      <c r="R1232" s="1">
        <v>45402</v>
      </c>
      <c r="S1232" t="s">
        <v>2926</v>
      </c>
    </row>
    <row r="1233" spans="1:19" x14ac:dyDescent="0.3">
      <c r="A1233" s="1">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1">
        <v>45360</v>
      </c>
      <c r="R1233" s="1">
        <v>45363</v>
      </c>
      <c r="S1233" t="s">
        <v>2925</v>
      </c>
    </row>
    <row r="1234" spans="1:19" x14ac:dyDescent="0.3">
      <c r="A1234" s="1">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1">
        <v>45572</v>
      </c>
      <c r="R1234" s="1">
        <v>45576</v>
      </c>
      <c r="S1234" t="s">
        <v>2923</v>
      </c>
    </row>
    <row r="1235" spans="1:19" x14ac:dyDescent="0.3">
      <c r="A1235" s="1">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1">
        <v>45205</v>
      </c>
      <c r="R1235" s="1">
        <v>45214</v>
      </c>
      <c r="S1235" t="s">
        <v>2926</v>
      </c>
    </row>
    <row r="1236" spans="1:19" x14ac:dyDescent="0.3">
      <c r="A1236" s="1">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1">
        <v>45024</v>
      </c>
      <c r="R1236" s="1">
        <v>45029</v>
      </c>
      <c r="S1236" t="s">
        <v>2926</v>
      </c>
    </row>
    <row r="1237" spans="1:19" x14ac:dyDescent="0.3">
      <c r="A1237" s="1">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1">
        <v>45342</v>
      </c>
      <c r="R1237" s="1">
        <v>45349</v>
      </c>
      <c r="S1237" t="s">
        <v>2923</v>
      </c>
    </row>
    <row r="1238" spans="1:19" x14ac:dyDescent="0.3">
      <c r="A1238" s="1">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1">
        <v>44956</v>
      </c>
      <c r="R1238" s="1">
        <v>44965</v>
      </c>
      <c r="S1238" t="s">
        <v>2926</v>
      </c>
    </row>
    <row r="1239" spans="1:19" x14ac:dyDescent="0.3">
      <c r="A1239" s="1">
        <v>45058</v>
      </c>
      <c r="B1239" t="s">
        <v>20</v>
      </c>
      <c r="C1239" t="s">
        <v>28</v>
      </c>
      <c r="D1239">
        <v>2</v>
      </c>
      <c r="E1239">
        <v>334.48</v>
      </c>
      <c r="F1239" t="s">
        <v>31</v>
      </c>
      <c r="G1239" t="s">
        <v>35</v>
      </c>
      <c r="H1239">
        <v>0</v>
      </c>
      <c r="I1239" t="s">
        <v>38</v>
      </c>
      <c r="J1239">
        <v>668.96</v>
      </c>
      <c r="K1239" t="s">
        <v>46</v>
      </c>
      <c r="M1239">
        <v>0</v>
      </c>
      <c r="N1239" t="s">
        <v>1288</v>
      </c>
      <c r="O1239" t="s">
        <v>2707</v>
      </c>
      <c r="P1239">
        <v>31.53</v>
      </c>
      <c r="Q1239" s="1">
        <v>45058</v>
      </c>
      <c r="R1239" s="1">
        <v>45066</v>
      </c>
      <c r="S1239" t="s">
        <v>2923</v>
      </c>
    </row>
    <row r="1240" spans="1:19" x14ac:dyDescent="0.3">
      <c r="A1240" s="1">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1">
        <v>45299</v>
      </c>
      <c r="R1240" s="1">
        <v>45303</v>
      </c>
      <c r="S1240" t="s">
        <v>2923</v>
      </c>
    </row>
    <row r="1241" spans="1:19" x14ac:dyDescent="0.3">
      <c r="A1241" s="1">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1">
        <v>45448</v>
      </c>
      <c r="R1241" s="1">
        <v>45451</v>
      </c>
      <c r="S1241" t="s">
        <v>2924</v>
      </c>
    </row>
    <row r="1242" spans="1:19" x14ac:dyDescent="0.3">
      <c r="A1242" s="1">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1">
        <v>45798</v>
      </c>
      <c r="R1242" s="1">
        <v>45800</v>
      </c>
      <c r="S1242" t="s">
        <v>2922</v>
      </c>
    </row>
    <row r="1243" spans="1:19" x14ac:dyDescent="0.3">
      <c r="A1243" s="1">
        <v>45798</v>
      </c>
      <c r="B1243" t="s">
        <v>19</v>
      </c>
      <c r="C1243" t="s">
        <v>27</v>
      </c>
      <c r="D1243">
        <v>7</v>
      </c>
      <c r="E1243">
        <v>15.06</v>
      </c>
      <c r="F1243" t="s">
        <v>32</v>
      </c>
      <c r="G1243" t="s">
        <v>36</v>
      </c>
      <c r="H1243">
        <v>0</v>
      </c>
      <c r="I1243" t="s">
        <v>38</v>
      </c>
      <c r="J1243">
        <v>105.42</v>
      </c>
      <c r="K1243" t="s">
        <v>47</v>
      </c>
      <c r="M1243">
        <v>1</v>
      </c>
      <c r="N1243" t="s">
        <v>1292</v>
      </c>
      <c r="O1243" t="s">
        <v>2710</v>
      </c>
      <c r="P1243">
        <v>46.57</v>
      </c>
      <c r="Q1243" s="1">
        <v>45798</v>
      </c>
      <c r="R1243" s="1">
        <v>45803</v>
      </c>
      <c r="S1243" t="s">
        <v>2922</v>
      </c>
    </row>
    <row r="1244" spans="1:19" x14ac:dyDescent="0.3">
      <c r="A1244" s="1">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1">
        <v>44990</v>
      </c>
      <c r="R1244" s="1">
        <v>44996</v>
      </c>
      <c r="S1244" t="s">
        <v>2922</v>
      </c>
    </row>
    <row r="1245" spans="1:19" x14ac:dyDescent="0.3">
      <c r="A1245" s="1">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1">
        <v>45592</v>
      </c>
      <c r="R1245" s="1">
        <v>45598</v>
      </c>
      <c r="S1245" t="s">
        <v>2923</v>
      </c>
    </row>
    <row r="1246" spans="1:19" x14ac:dyDescent="0.3">
      <c r="A1246" s="1">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1">
        <v>45740</v>
      </c>
      <c r="R1246" s="1">
        <v>45745</v>
      </c>
      <c r="S1246" t="s">
        <v>2924</v>
      </c>
    </row>
    <row r="1247" spans="1:19" x14ac:dyDescent="0.3">
      <c r="A1247" s="1">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1">
        <v>45556</v>
      </c>
      <c r="R1247" s="1">
        <v>45562</v>
      </c>
      <c r="S1247" t="s">
        <v>2926</v>
      </c>
    </row>
    <row r="1248" spans="1:19" x14ac:dyDescent="0.3">
      <c r="A1248" s="1">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1">
        <v>45795</v>
      </c>
      <c r="R1248" s="1">
        <v>45804</v>
      </c>
      <c r="S1248" t="s">
        <v>2924</v>
      </c>
    </row>
    <row r="1249" spans="1:19" x14ac:dyDescent="0.3">
      <c r="A1249" s="1">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1">
        <v>45484</v>
      </c>
      <c r="R1249" s="1">
        <v>45487</v>
      </c>
      <c r="S1249" t="s">
        <v>2922</v>
      </c>
    </row>
    <row r="1250" spans="1:19" x14ac:dyDescent="0.3">
      <c r="A1250" s="1">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1">
        <v>45684</v>
      </c>
      <c r="R1250" s="1">
        <v>45692</v>
      </c>
      <c r="S1250" t="s">
        <v>2924</v>
      </c>
    </row>
    <row r="1251" spans="1:19" x14ac:dyDescent="0.3">
      <c r="A1251" s="1">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1">
        <v>45256</v>
      </c>
      <c r="R1251" s="1">
        <v>45266</v>
      </c>
      <c r="S1251" t="s">
        <v>2922</v>
      </c>
    </row>
    <row r="1252" spans="1:19" x14ac:dyDescent="0.3">
      <c r="A1252" s="1">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1">
        <v>45445</v>
      </c>
      <c r="R1252" s="1">
        <v>45447</v>
      </c>
      <c r="S1252" t="s">
        <v>2925</v>
      </c>
    </row>
    <row r="1253" spans="1:19" x14ac:dyDescent="0.3">
      <c r="A1253" s="1">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1">
        <v>44943</v>
      </c>
      <c r="R1253" s="1">
        <v>44950</v>
      </c>
      <c r="S1253" t="s">
        <v>2924</v>
      </c>
    </row>
    <row r="1254" spans="1:19" x14ac:dyDescent="0.3">
      <c r="A1254" s="1">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1">
        <v>45780</v>
      </c>
      <c r="R1254" s="1">
        <v>45788</v>
      </c>
      <c r="S1254" t="s">
        <v>2924</v>
      </c>
    </row>
    <row r="1255" spans="1:19" x14ac:dyDescent="0.3">
      <c r="A1255" s="1">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1">
        <v>45662</v>
      </c>
      <c r="R1255" s="1">
        <v>45670</v>
      </c>
      <c r="S1255" t="s">
        <v>2924</v>
      </c>
    </row>
    <row r="1256" spans="1:19" x14ac:dyDescent="0.3">
      <c r="A1256" s="1">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1">
        <v>45342</v>
      </c>
      <c r="R1256" s="1">
        <v>45352</v>
      </c>
      <c r="S1256" t="s">
        <v>2922</v>
      </c>
    </row>
    <row r="1257" spans="1:19" x14ac:dyDescent="0.3">
      <c r="A1257" s="1">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1">
        <v>45286</v>
      </c>
      <c r="R1257" s="1">
        <v>45295</v>
      </c>
      <c r="S1257" t="s">
        <v>2924</v>
      </c>
    </row>
    <row r="1258" spans="1:19" x14ac:dyDescent="0.3">
      <c r="A1258" s="1">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1">
        <v>44992</v>
      </c>
      <c r="R1258" s="1">
        <v>44997</v>
      </c>
      <c r="S1258" t="s">
        <v>2924</v>
      </c>
    </row>
    <row r="1259" spans="1:19" x14ac:dyDescent="0.3">
      <c r="A1259" s="1">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1">
        <v>45548</v>
      </c>
      <c r="R1259" s="1">
        <v>45557</v>
      </c>
      <c r="S1259" t="s">
        <v>2924</v>
      </c>
    </row>
    <row r="1260" spans="1:19" x14ac:dyDescent="0.3">
      <c r="A1260" s="1">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1">
        <v>45293</v>
      </c>
      <c r="R1260" s="1">
        <v>45303</v>
      </c>
      <c r="S1260" t="s">
        <v>2922</v>
      </c>
    </row>
    <row r="1261" spans="1:19" x14ac:dyDescent="0.3">
      <c r="A1261" s="1">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1">
        <v>45696</v>
      </c>
      <c r="R1261" s="1">
        <v>45706</v>
      </c>
      <c r="S1261" t="s">
        <v>2923</v>
      </c>
    </row>
    <row r="1262" spans="1:19" x14ac:dyDescent="0.3">
      <c r="A1262" s="1">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1">
        <v>45720</v>
      </c>
      <c r="R1262" s="1">
        <v>45728</v>
      </c>
      <c r="S1262" t="s">
        <v>2923</v>
      </c>
    </row>
    <row r="1263" spans="1:19" x14ac:dyDescent="0.3">
      <c r="A1263" s="1">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1">
        <v>45363</v>
      </c>
      <c r="R1263" s="1">
        <v>45372</v>
      </c>
      <c r="S1263" t="s">
        <v>2925</v>
      </c>
    </row>
    <row r="1264" spans="1:19" x14ac:dyDescent="0.3">
      <c r="A1264" s="1">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1">
        <v>45476</v>
      </c>
      <c r="R1264" s="1">
        <v>45480</v>
      </c>
      <c r="S1264" t="s">
        <v>2922</v>
      </c>
    </row>
    <row r="1265" spans="1:19" x14ac:dyDescent="0.3">
      <c r="A1265" s="1">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1">
        <v>45662</v>
      </c>
      <c r="R1265" s="1">
        <v>45670</v>
      </c>
      <c r="S1265" t="s">
        <v>2924</v>
      </c>
    </row>
    <row r="1266" spans="1:19" x14ac:dyDescent="0.3">
      <c r="A1266" s="1">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1">
        <v>45372</v>
      </c>
      <c r="R1266" s="1">
        <v>45379</v>
      </c>
      <c r="S1266" t="s">
        <v>2922</v>
      </c>
    </row>
    <row r="1267" spans="1:19" x14ac:dyDescent="0.3">
      <c r="A1267" s="1">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1">
        <v>45744</v>
      </c>
      <c r="R1267" s="1">
        <v>45750</v>
      </c>
      <c r="S1267" t="s">
        <v>2925</v>
      </c>
    </row>
    <row r="1268" spans="1:19" x14ac:dyDescent="0.3">
      <c r="A1268" s="1">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1">
        <v>45760</v>
      </c>
      <c r="R1268" s="1">
        <v>45765</v>
      </c>
      <c r="S1268" t="s">
        <v>2925</v>
      </c>
    </row>
    <row r="1269" spans="1:19" x14ac:dyDescent="0.3">
      <c r="A1269" s="1">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1">
        <v>45412</v>
      </c>
      <c r="R1269" s="1">
        <v>45421</v>
      </c>
      <c r="S1269" t="s">
        <v>2926</v>
      </c>
    </row>
    <row r="1270" spans="1:19" x14ac:dyDescent="0.3">
      <c r="A1270" s="1">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1">
        <v>45703</v>
      </c>
      <c r="R1270" s="1">
        <v>45707</v>
      </c>
      <c r="S1270" t="s">
        <v>2923</v>
      </c>
    </row>
    <row r="1271" spans="1:19" x14ac:dyDescent="0.3">
      <c r="A1271" s="1">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1">
        <v>45706</v>
      </c>
      <c r="R1271" s="1">
        <v>45711</v>
      </c>
      <c r="S1271" t="s">
        <v>2926</v>
      </c>
    </row>
    <row r="1272" spans="1:19" x14ac:dyDescent="0.3">
      <c r="A1272" s="1">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1">
        <v>45177</v>
      </c>
      <c r="R1272" s="1">
        <v>45179</v>
      </c>
      <c r="S1272" t="s">
        <v>2926</v>
      </c>
    </row>
    <row r="1273" spans="1:19" x14ac:dyDescent="0.3">
      <c r="A1273" s="1">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1">
        <v>45326</v>
      </c>
      <c r="R1273" s="1">
        <v>45328</v>
      </c>
      <c r="S1273" t="s">
        <v>2925</v>
      </c>
    </row>
    <row r="1274" spans="1:19" x14ac:dyDescent="0.3">
      <c r="A1274" s="1">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1">
        <v>45621</v>
      </c>
      <c r="R1274" s="1">
        <v>45631</v>
      </c>
      <c r="S1274" t="s">
        <v>2924</v>
      </c>
    </row>
    <row r="1275" spans="1:19" x14ac:dyDescent="0.3">
      <c r="A1275" s="1">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1">
        <v>45656</v>
      </c>
      <c r="R1275" s="1">
        <v>45659</v>
      </c>
      <c r="S1275" t="s">
        <v>2924</v>
      </c>
    </row>
    <row r="1276" spans="1:19" x14ac:dyDescent="0.3">
      <c r="A1276" s="1">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1">
        <v>45174</v>
      </c>
      <c r="R1276" s="1">
        <v>45179</v>
      </c>
      <c r="S1276" t="s">
        <v>2926</v>
      </c>
    </row>
    <row r="1277" spans="1:19" x14ac:dyDescent="0.3">
      <c r="A1277" s="1">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1">
        <v>45139</v>
      </c>
      <c r="R1277" s="1">
        <v>45149</v>
      </c>
      <c r="S1277" t="s">
        <v>2926</v>
      </c>
    </row>
    <row r="1278" spans="1:19" x14ac:dyDescent="0.3">
      <c r="A1278" s="1">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1">
        <v>44932</v>
      </c>
      <c r="R1278" s="1">
        <v>44934</v>
      </c>
      <c r="S1278" t="s">
        <v>2925</v>
      </c>
    </row>
    <row r="1279" spans="1:19" x14ac:dyDescent="0.3">
      <c r="A1279" s="1">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1">
        <v>45779</v>
      </c>
      <c r="R1279" s="1">
        <v>45783</v>
      </c>
      <c r="S1279" t="s">
        <v>2925</v>
      </c>
    </row>
    <row r="1280" spans="1:19" x14ac:dyDescent="0.3">
      <c r="A1280" s="1">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1">
        <v>45281</v>
      </c>
      <c r="R1280" s="1">
        <v>45288</v>
      </c>
      <c r="S1280" t="s">
        <v>2926</v>
      </c>
    </row>
    <row r="1281" spans="1:19" x14ac:dyDescent="0.3">
      <c r="A1281" s="1">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1">
        <v>45545</v>
      </c>
      <c r="R1281" s="1">
        <v>45549</v>
      </c>
      <c r="S1281" t="s">
        <v>2922</v>
      </c>
    </row>
    <row r="1282" spans="1:19" x14ac:dyDescent="0.3">
      <c r="A1282" s="1">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1">
        <v>45387</v>
      </c>
      <c r="R1282" s="1">
        <v>45392</v>
      </c>
      <c r="S1282" t="s">
        <v>2925</v>
      </c>
    </row>
    <row r="1283" spans="1:19" x14ac:dyDescent="0.3">
      <c r="A1283" s="1">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1">
        <v>45133</v>
      </c>
      <c r="R1283" s="1">
        <v>45138</v>
      </c>
      <c r="S1283" t="s">
        <v>2922</v>
      </c>
    </row>
    <row r="1284" spans="1:19" x14ac:dyDescent="0.3">
      <c r="A1284" s="1">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1">
        <v>45242</v>
      </c>
      <c r="R1284" s="1">
        <v>45244</v>
      </c>
      <c r="S1284" t="s">
        <v>2922</v>
      </c>
    </row>
    <row r="1285" spans="1:19" x14ac:dyDescent="0.3">
      <c r="A1285" s="1">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1">
        <v>45765</v>
      </c>
      <c r="R1285" s="1">
        <v>45767</v>
      </c>
      <c r="S1285" t="s">
        <v>2925</v>
      </c>
    </row>
    <row r="1286" spans="1:19" x14ac:dyDescent="0.3">
      <c r="A1286" s="1">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1">
        <v>45150</v>
      </c>
      <c r="R1286" s="1">
        <v>45157</v>
      </c>
      <c r="S1286" t="s">
        <v>2923</v>
      </c>
    </row>
    <row r="1287" spans="1:19" x14ac:dyDescent="0.3">
      <c r="A1287" s="1">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1">
        <v>45638</v>
      </c>
      <c r="R1287" s="1">
        <v>45647</v>
      </c>
      <c r="S1287" t="s">
        <v>2926</v>
      </c>
    </row>
    <row r="1288" spans="1:19" x14ac:dyDescent="0.3">
      <c r="A1288" s="1">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1">
        <v>45784</v>
      </c>
      <c r="R1288" s="1">
        <v>45790</v>
      </c>
      <c r="S1288" t="s">
        <v>2926</v>
      </c>
    </row>
    <row r="1289" spans="1:19" x14ac:dyDescent="0.3">
      <c r="A1289" s="1">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1">
        <v>45726</v>
      </c>
      <c r="R1289" s="1">
        <v>45729</v>
      </c>
      <c r="S1289" t="s">
        <v>2922</v>
      </c>
    </row>
    <row r="1290" spans="1:19" x14ac:dyDescent="0.3">
      <c r="A1290" s="1">
        <v>45809</v>
      </c>
      <c r="B1290" t="s">
        <v>19</v>
      </c>
      <c r="C1290" t="s">
        <v>26</v>
      </c>
      <c r="D1290">
        <v>7</v>
      </c>
      <c r="E1290">
        <v>122.2</v>
      </c>
      <c r="F1290" t="s">
        <v>31</v>
      </c>
      <c r="G1290" t="s">
        <v>36</v>
      </c>
      <c r="H1290">
        <v>0</v>
      </c>
      <c r="I1290" t="s">
        <v>40</v>
      </c>
      <c r="J1290">
        <v>855.4</v>
      </c>
      <c r="K1290" t="s">
        <v>45</v>
      </c>
      <c r="M1290">
        <v>0</v>
      </c>
      <c r="N1290" t="s">
        <v>1339</v>
      </c>
      <c r="O1290" t="s">
        <v>2751</v>
      </c>
      <c r="P1290">
        <v>30.21</v>
      </c>
      <c r="Q1290" s="1">
        <v>45809</v>
      </c>
      <c r="R1290" s="1">
        <v>45818</v>
      </c>
      <c r="S1290" t="s">
        <v>2922</v>
      </c>
    </row>
    <row r="1291" spans="1:19" x14ac:dyDescent="0.3">
      <c r="A1291" s="1">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1">
        <v>45796</v>
      </c>
      <c r="R1291" s="1">
        <v>45798</v>
      </c>
      <c r="S1291" t="s">
        <v>2926</v>
      </c>
    </row>
    <row r="1292" spans="1:19" x14ac:dyDescent="0.3">
      <c r="A1292" s="1">
        <v>44965</v>
      </c>
      <c r="B1292" t="s">
        <v>19</v>
      </c>
      <c r="C1292" t="s">
        <v>29</v>
      </c>
      <c r="D1292">
        <v>4</v>
      </c>
      <c r="E1292">
        <v>224.75</v>
      </c>
      <c r="F1292" t="s">
        <v>34</v>
      </c>
      <c r="G1292" t="s">
        <v>35</v>
      </c>
      <c r="H1292">
        <v>0</v>
      </c>
      <c r="I1292" t="s">
        <v>39</v>
      </c>
      <c r="J1292">
        <v>899</v>
      </c>
      <c r="K1292" t="s">
        <v>46</v>
      </c>
      <c r="M1292">
        <v>0</v>
      </c>
      <c r="N1292" t="s">
        <v>1341</v>
      </c>
      <c r="O1292" t="s">
        <v>2753</v>
      </c>
      <c r="P1292">
        <v>43.86</v>
      </c>
      <c r="Q1292" s="1">
        <v>44965</v>
      </c>
      <c r="R1292" s="1">
        <v>44973</v>
      </c>
      <c r="S1292" t="s">
        <v>2922</v>
      </c>
    </row>
    <row r="1293" spans="1:19" x14ac:dyDescent="0.3">
      <c r="A1293" s="1">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1">
        <v>45771</v>
      </c>
      <c r="R1293" s="1">
        <v>45780</v>
      </c>
      <c r="S1293" t="s">
        <v>2925</v>
      </c>
    </row>
    <row r="1294" spans="1:19" x14ac:dyDescent="0.3">
      <c r="A1294" s="1">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1">
        <v>45536</v>
      </c>
      <c r="R1294" s="1">
        <v>45543</v>
      </c>
      <c r="S1294" t="s">
        <v>2924</v>
      </c>
    </row>
    <row r="1295" spans="1:19" x14ac:dyDescent="0.3">
      <c r="A1295" s="1">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1">
        <v>45603</v>
      </c>
      <c r="R1295" s="1">
        <v>45609</v>
      </c>
      <c r="S1295" t="s">
        <v>2925</v>
      </c>
    </row>
    <row r="1296" spans="1:19" x14ac:dyDescent="0.3">
      <c r="A1296" s="1">
        <v>45625</v>
      </c>
      <c r="B1296" t="s">
        <v>19</v>
      </c>
      <c r="C1296" t="s">
        <v>27</v>
      </c>
      <c r="D1296">
        <v>1</v>
      </c>
      <c r="E1296">
        <v>139.13</v>
      </c>
      <c r="F1296" t="s">
        <v>33</v>
      </c>
      <c r="G1296" t="s">
        <v>35</v>
      </c>
      <c r="H1296">
        <v>0</v>
      </c>
      <c r="I1296" t="s">
        <v>40</v>
      </c>
      <c r="J1296">
        <v>139.13</v>
      </c>
      <c r="K1296" t="s">
        <v>47</v>
      </c>
      <c r="M1296">
        <v>1</v>
      </c>
      <c r="N1296" t="s">
        <v>1345</v>
      </c>
      <c r="O1296" t="s">
        <v>2757</v>
      </c>
      <c r="P1296">
        <v>35.92</v>
      </c>
      <c r="Q1296" s="1">
        <v>45625</v>
      </c>
      <c r="R1296" s="1">
        <v>45628</v>
      </c>
      <c r="S1296" t="s">
        <v>2922</v>
      </c>
    </row>
    <row r="1297" spans="1:19" x14ac:dyDescent="0.3">
      <c r="A1297" s="1">
        <v>45026</v>
      </c>
      <c r="B1297" t="s">
        <v>23</v>
      </c>
      <c r="C1297" t="s">
        <v>27</v>
      </c>
      <c r="D1297">
        <v>6</v>
      </c>
      <c r="E1297">
        <v>543.89</v>
      </c>
      <c r="F1297" t="s">
        <v>33</v>
      </c>
      <c r="G1297" t="s">
        <v>36</v>
      </c>
      <c r="H1297">
        <v>0</v>
      </c>
      <c r="I1297" t="s">
        <v>42</v>
      </c>
      <c r="J1297">
        <v>3263.34</v>
      </c>
      <c r="K1297" t="s">
        <v>47</v>
      </c>
      <c r="M1297">
        <v>1</v>
      </c>
      <c r="N1297" t="s">
        <v>1346</v>
      </c>
      <c r="O1297" t="s">
        <v>2758</v>
      </c>
      <c r="P1297">
        <v>13.19</v>
      </c>
      <c r="Q1297" s="1">
        <v>45026</v>
      </c>
      <c r="R1297" s="1">
        <v>45036</v>
      </c>
      <c r="S1297" t="s">
        <v>2926</v>
      </c>
    </row>
    <row r="1298" spans="1:19" x14ac:dyDescent="0.3">
      <c r="A1298" s="1">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1">
        <v>45301</v>
      </c>
      <c r="R1298" s="1">
        <v>45307</v>
      </c>
      <c r="S1298" t="s">
        <v>2924</v>
      </c>
    </row>
    <row r="1299" spans="1:19" x14ac:dyDescent="0.3">
      <c r="A1299" s="1">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1">
        <v>45794</v>
      </c>
      <c r="R1299" s="1">
        <v>45800</v>
      </c>
      <c r="S1299" t="s">
        <v>2923</v>
      </c>
    </row>
    <row r="1300" spans="1:19" x14ac:dyDescent="0.3">
      <c r="A1300" s="1">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1">
        <v>45499</v>
      </c>
      <c r="R1300" s="1">
        <v>45503</v>
      </c>
      <c r="S1300" t="s">
        <v>2925</v>
      </c>
    </row>
    <row r="1301" spans="1:19" x14ac:dyDescent="0.3">
      <c r="A1301" s="1">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1">
        <v>45652</v>
      </c>
      <c r="R1301" s="1">
        <v>45660</v>
      </c>
      <c r="S1301" t="s">
        <v>2923</v>
      </c>
    </row>
    <row r="1302" spans="1:19" x14ac:dyDescent="0.3">
      <c r="A1302" s="1">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1">
        <v>45680</v>
      </c>
      <c r="R1302" s="1">
        <v>45688</v>
      </c>
      <c r="S1302" t="s">
        <v>2922</v>
      </c>
    </row>
    <row r="1303" spans="1:19" x14ac:dyDescent="0.3">
      <c r="A1303" s="1">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1">
        <v>45376</v>
      </c>
      <c r="R1303" s="1">
        <v>45383</v>
      </c>
      <c r="S1303" t="s">
        <v>2923</v>
      </c>
    </row>
    <row r="1304" spans="1:19" x14ac:dyDescent="0.3">
      <c r="A1304" s="1">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1">
        <v>45720</v>
      </c>
      <c r="R1304" s="1">
        <v>45727</v>
      </c>
      <c r="S1304" t="s">
        <v>2925</v>
      </c>
    </row>
    <row r="1305" spans="1:19" x14ac:dyDescent="0.3">
      <c r="A1305" s="1">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1">
        <v>45219</v>
      </c>
      <c r="R1305" s="1">
        <v>45223</v>
      </c>
      <c r="S1305" t="s">
        <v>2923</v>
      </c>
    </row>
    <row r="1306" spans="1:19" x14ac:dyDescent="0.3">
      <c r="A1306" s="1">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1">
        <v>45554</v>
      </c>
      <c r="R1306" s="1">
        <v>45563</v>
      </c>
      <c r="S1306" t="s">
        <v>2925</v>
      </c>
    </row>
    <row r="1307" spans="1:19" x14ac:dyDescent="0.3">
      <c r="A1307" s="1">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1">
        <v>45192</v>
      </c>
      <c r="R1307" s="1">
        <v>45195</v>
      </c>
      <c r="S1307" t="s">
        <v>2924</v>
      </c>
    </row>
    <row r="1308" spans="1:19" x14ac:dyDescent="0.3">
      <c r="A1308" s="1">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1">
        <v>45657</v>
      </c>
      <c r="R1308" s="1">
        <v>45659</v>
      </c>
      <c r="S1308" t="s">
        <v>2922</v>
      </c>
    </row>
    <row r="1309" spans="1:19" x14ac:dyDescent="0.3">
      <c r="A1309" s="1">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1">
        <v>45314</v>
      </c>
      <c r="R1309" s="1">
        <v>45322</v>
      </c>
      <c r="S1309" t="s">
        <v>2924</v>
      </c>
    </row>
    <row r="1310" spans="1:19" x14ac:dyDescent="0.3">
      <c r="A1310" s="1">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1">
        <v>45090</v>
      </c>
      <c r="R1310" s="1">
        <v>45100</v>
      </c>
      <c r="S1310" t="s">
        <v>2922</v>
      </c>
    </row>
    <row r="1311" spans="1:19" x14ac:dyDescent="0.3">
      <c r="A1311" s="1">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1">
        <v>45108</v>
      </c>
      <c r="R1311" s="1">
        <v>45113</v>
      </c>
      <c r="S1311" t="s">
        <v>2922</v>
      </c>
    </row>
    <row r="1312" spans="1:19" x14ac:dyDescent="0.3">
      <c r="A1312" s="1">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1">
        <v>45738</v>
      </c>
      <c r="R1312" s="1">
        <v>45741</v>
      </c>
      <c r="S1312" t="s">
        <v>2923</v>
      </c>
    </row>
    <row r="1313" spans="1:19" x14ac:dyDescent="0.3">
      <c r="A1313" s="1">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1">
        <v>45695</v>
      </c>
      <c r="R1313" s="1">
        <v>45703</v>
      </c>
      <c r="S1313" t="s">
        <v>2923</v>
      </c>
    </row>
    <row r="1314" spans="1:19" x14ac:dyDescent="0.3">
      <c r="A1314" s="1">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1">
        <v>45217</v>
      </c>
      <c r="R1314" s="1">
        <v>45225</v>
      </c>
      <c r="S1314" t="s">
        <v>2924</v>
      </c>
    </row>
    <row r="1315" spans="1:19" x14ac:dyDescent="0.3">
      <c r="A1315" s="1">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1">
        <v>45293</v>
      </c>
      <c r="R1315" s="1">
        <v>45302</v>
      </c>
      <c r="S1315" t="s">
        <v>2925</v>
      </c>
    </row>
    <row r="1316" spans="1:19" x14ac:dyDescent="0.3">
      <c r="A1316" s="1">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1">
        <v>45724</v>
      </c>
      <c r="R1316" s="1">
        <v>45733</v>
      </c>
      <c r="S1316" t="s">
        <v>2923</v>
      </c>
    </row>
    <row r="1317" spans="1:19" x14ac:dyDescent="0.3">
      <c r="A1317" s="1">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1">
        <v>45110</v>
      </c>
      <c r="R1317" s="1">
        <v>45115</v>
      </c>
      <c r="S1317" t="s">
        <v>2926</v>
      </c>
    </row>
    <row r="1318" spans="1:19" x14ac:dyDescent="0.3">
      <c r="A1318" s="1">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1">
        <v>45245</v>
      </c>
      <c r="R1318" s="1">
        <v>45252</v>
      </c>
      <c r="S1318" t="s">
        <v>2924</v>
      </c>
    </row>
    <row r="1319" spans="1:19" x14ac:dyDescent="0.3">
      <c r="A1319" s="1">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1">
        <v>45332</v>
      </c>
      <c r="R1319" s="1">
        <v>45339</v>
      </c>
      <c r="S1319" t="s">
        <v>2926</v>
      </c>
    </row>
    <row r="1320" spans="1:19" x14ac:dyDescent="0.3">
      <c r="A1320" s="1">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1">
        <v>45756</v>
      </c>
      <c r="R1320" s="1">
        <v>45766</v>
      </c>
      <c r="S1320" t="s">
        <v>2926</v>
      </c>
    </row>
    <row r="1321" spans="1:19" x14ac:dyDescent="0.3">
      <c r="A1321" s="1">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1">
        <v>45178</v>
      </c>
      <c r="R1321" s="1">
        <v>45181</v>
      </c>
      <c r="S1321" t="s">
        <v>2926</v>
      </c>
    </row>
    <row r="1322" spans="1:19" x14ac:dyDescent="0.3">
      <c r="A1322" s="1">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1">
        <v>45004</v>
      </c>
      <c r="R1322" s="1">
        <v>45011</v>
      </c>
      <c r="S1322" t="s">
        <v>2922</v>
      </c>
    </row>
    <row r="1323" spans="1:19" x14ac:dyDescent="0.3">
      <c r="A1323" s="1">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1">
        <v>45657</v>
      </c>
      <c r="R1323" s="1">
        <v>45659</v>
      </c>
      <c r="S1323" t="s">
        <v>2925</v>
      </c>
    </row>
    <row r="1324" spans="1:19" x14ac:dyDescent="0.3">
      <c r="A1324" s="1">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1">
        <v>45254</v>
      </c>
      <c r="R1324" s="1">
        <v>45256</v>
      </c>
      <c r="S1324" t="s">
        <v>2925</v>
      </c>
    </row>
    <row r="1325" spans="1:19" x14ac:dyDescent="0.3">
      <c r="A1325" s="1">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1">
        <v>45792</v>
      </c>
      <c r="R1325" s="1">
        <v>45799</v>
      </c>
      <c r="S1325" t="s">
        <v>2922</v>
      </c>
    </row>
    <row r="1326" spans="1:19" x14ac:dyDescent="0.3">
      <c r="A1326" s="1">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1">
        <v>45753</v>
      </c>
      <c r="R1326" s="1">
        <v>45758</v>
      </c>
      <c r="S1326" t="s">
        <v>2923</v>
      </c>
    </row>
    <row r="1327" spans="1:19" x14ac:dyDescent="0.3">
      <c r="A1327" s="1">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1">
        <v>45328</v>
      </c>
      <c r="R1327" s="1">
        <v>45336</v>
      </c>
      <c r="S1327" t="s">
        <v>2923</v>
      </c>
    </row>
    <row r="1328" spans="1:19" x14ac:dyDescent="0.3">
      <c r="A1328" s="1">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1">
        <v>45791</v>
      </c>
      <c r="R1328" s="1">
        <v>45797</v>
      </c>
      <c r="S1328" t="s">
        <v>2924</v>
      </c>
    </row>
    <row r="1329" spans="1:19" x14ac:dyDescent="0.3">
      <c r="A1329" s="1">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1">
        <v>44939</v>
      </c>
      <c r="R1329" s="1">
        <v>44944</v>
      </c>
      <c r="S1329" t="s">
        <v>2922</v>
      </c>
    </row>
    <row r="1330" spans="1:19" x14ac:dyDescent="0.3">
      <c r="A1330" s="1">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1">
        <v>45341</v>
      </c>
      <c r="R1330" s="1">
        <v>45350</v>
      </c>
      <c r="S1330" t="s">
        <v>2924</v>
      </c>
    </row>
    <row r="1331" spans="1:19" x14ac:dyDescent="0.3">
      <c r="A1331" s="1">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1">
        <v>45206</v>
      </c>
      <c r="R1331" s="1">
        <v>45211</v>
      </c>
      <c r="S1331" t="s">
        <v>2923</v>
      </c>
    </row>
    <row r="1332" spans="1:19" x14ac:dyDescent="0.3">
      <c r="A1332" s="1">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1">
        <v>45552</v>
      </c>
      <c r="R1332" s="1">
        <v>45554</v>
      </c>
      <c r="S1332" t="s">
        <v>2925</v>
      </c>
    </row>
    <row r="1333" spans="1:19" x14ac:dyDescent="0.3">
      <c r="A1333" s="1">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1">
        <v>45053</v>
      </c>
      <c r="R1333" s="1">
        <v>45063</v>
      </c>
      <c r="S1333" t="s">
        <v>2924</v>
      </c>
    </row>
    <row r="1334" spans="1:19" x14ac:dyDescent="0.3">
      <c r="A1334" s="1">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1">
        <v>45272</v>
      </c>
      <c r="R1334" s="1">
        <v>45281</v>
      </c>
      <c r="S1334" t="s">
        <v>2924</v>
      </c>
    </row>
    <row r="1335" spans="1:19" x14ac:dyDescent="0.3">
      <c r="A1335" s="1">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1">
        <v>45727</v>
      </c>
      <c r="R1335" s="1">
        <v>45730</v>
      </c>
      <c r="S1335" t="s">
        <v>2925</v>
      </c>
    </row>
    <row r="1336" spans="1:19" x14ac:dyDescent="0.3">
      <c r="A1336" s="1">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1">
        <v>45380</v>
      </c>
      <c r="R1336" s="1">
        <v>45389</v>
      </c>
      <c r="S1336" t="s">
        <v>2922</v>
      </c>
    </row>
    <row r="1337" spans="1:19" x14ac:dyDescent="0.3">
      <c r="A1337" s="1">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1">
        <v>45501</v>
      </c>
      <c r="R1337" s="1">
        <v>45509</v>
      </c>
      <c r="S1337" t="s">
        <v>2926</v>
      </c>
    </row>
    <row r="1338" spans="1:19" x14ac:dyDescent="0.3">
      <c r="A1338" s="1">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1">
        <v>45484</v>
      </c>
      <c r="R1338" s="1">
        <v>45494</v>
      </c>
      <c r="S1338" t="s">
        <v>2923</v>
      </c>
    </row>
    <row r="1339" spans="1:19" x14ac:dyDescent="0.3">
      <c r="A1339" s="1">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1">
        <v>45478</v>
      </c>
      <c r="R1339" s="1">
        <v>45487</v>
      </c>
      <c r="S1339" t="s">
        <v>2926</v>
      </c>
    </row>
    <row r="1340" spans="1:19" x14ac:dyDescent="0.3">
      <c r="A1340" s="1">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1">
        <v>45370</v>
      </c>
      <c r="R1340" s="1">
        <v>45375</v>
      </c>
      <c r="S1340" t="s">
        <v>2922</v>
      </c>
    </row>
    <row r="1341" spans="1:19" x14ac:dyDescent="0.3">
      <c r="A1341" s="1">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1">
        <v>45285</v>
      </c>
      <c r="R1341" s="1">
        <v>45289</v>
      </c>
      <c r="S1341" t="s">
        <v>2925</v>
      </c>
    </row>
    <row r="1342" spans="1:19" x14ac:dyDescent="0.3">
      <c r="A1342" s="1">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1">
        <v>45629</v>
      </c>
      <c r="R1342" s="1">
        <v>45631</v>
      </c>
      <c r="S1342" t="s">
        <v>2923</v>
      </c>
    </row>
    <row r="1343" spans="1:19" x14ac:dyDescent="0.3">
      <c r="A1343" s="1">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1">
        <v>45177</v>
      </c>
      <c r="R1343" s="1">
        <v>45184</v>
      </c>
      <c r="S1343" t="s">
        <v>2922</v>
      </c>
    </row>
    <row r="1344" spans="1:19" x14ac:dyDescent="0.3">
      <c r="A1344" s="1">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1">
        <v>45296</v>
      </c>
      <c r="R1344" s="1">
        <v>45298</v>
      </c>
      <c r="S1344" t="s">
        <v>2922</v>
      </c>
    </row>
    <row r="1345" spans="1:19" x14ac:dyDescent="0.3">
      <c r="A1345" s="1">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1">
        <v>45141</v>
      </c>
      <c r="R1345" s="1">
        <v>45148</v>
      </c>
      <c r="S1345" t="s">
        <v>2923</v>
      </c>
    </row>
    <row r="1346" spans="1:19" x14ac:dyDescent="0.3">
      <c r="A1346" s="1">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1">
        <v>45699</v>
      </c>
      <c r="R1346" s="1">
        <v>45709</v>
      </c>
      <c r="S1346" t="s">
        <v>2924</v>
      </c>
    </row>
    <row r="1347" spans="1:19" x14ac:dyDescent="0.3">
      <c r="A1347" s="1">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1">
        <v>45094</v>
      </c>
      <c r="R1347" s="1">
        <v>45098</v>
      </c>
      <c r="S1347" t="s">
        <v>2923</v>
      </c>
    </row>
    <row r="1348" spans="1:19" x14ac:dyDescent="0.3">
      <c r="A1348" s="1">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1">
        <v>45327</v>
      </c>
      <c r="R1348" s="1">
        <v>45336</v>
      </c>
      <c r="S1348" t="s">
        <v>2925</v>
      </c>
    </row>
    <row r="1349" spans="1:19" x14ac:dyDescent="0.3">
      <c r="A1349" s="1">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1">
        <v>45368</v>
      </c>
      <c r="R1349" s="1">
        <v>45378</v>
      </c>
      <c r="S1349" t="s">
        <v>2923</v>
      </c>
    </row>
    <row r="1350" spans="1:19" x14ac:dyDescent="0.3">
      <c r="A1350" s="1">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1">
        <v>45325</v>
      </c>
      <c r="R1350" s="1">
        <v>45331</v>
      </c>
      <c r="S1350" t="s">
        <v>2925</v>
      </c>
    </row>
    <row r="1351" spans="1:19" x14ac:dyDescent="0.3">
      <c r="A1351" s="1">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1">
        <v>45016</v>
      </c>
      <c r="R1351" s="1">
        <v>45026</v>
      </c>
      <c r="S1351" t="s">
        <v>2924</v>
      </c>
    </row>
    <row r="1352" spans="1:19" x14ac:dyDescent="0.3">
      <c r="A1352" s="1">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1">
        <v>45156</v>
      </c>
      <c r="R1352" s="1">
        <v>45160</v>
      </c>
      <c r="S1352" t="s">
        <v>2926</v>
      </c>
    </row>
    <row r="1353" spans="1:19" x14ac:dyDescent="0.3">
      <c r="A1353" s="1">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1">
        <v>45179</v>
      </c>
      <c r="R1353" s="1">
        <v>45182</v>
      </c>
      <c r="S1353" t="s">
        <v>2925</v>
      </c>
    </row>
    <row r="1354" spans="1:19" x14ac:dyDescent="0.3">
      <c r="A1354" s="1">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1">
        <v>45320</v>
      </c>
      <c r="R1354" s="1">
        <v>45325</v>
      </c>
      <c r="S1354" t="s">
        <v>2923</v>
      </c>
    </row>
    <row r="1355" spans="1:19" x14ac:dyDescent="0.3">
      <c r="A1355" s="1">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1">
        <v>45372</v>
      </c>
      <c r="R1355" s="1">
        <v>45381</v>
      </c>
      <c r="S1355" t="s">
        <v>2924</v>
      </c>
    </row>
    <row r="1356" spans="1:19" x14ac:dyDescent="0.3">
      <c r="A1356" s="1">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1">
        <v>45507</v>
      </c>
      <c r="R1356" s="1">
        <v>45509</v>
      </c>
      <c r="S1356" t="s">
        <v>2926</v>
      </c>
    </row>
    <row r="1357" spans="1:19" x14ac:dyDescent="0.3">
      <c r="A1357" s="1">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1">
        <v>45782</v>
      </c>
      <c r="R1357" s="1">
        <v>45791</v>
      </c>
      <c r="S1357" t="s">
        <v>2924</v>
      </c>
    </row>
    <row r="1358" spans="1:19" x14ac:dyDescent="0.3">
      <c r="A1358" s="1">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1">
        <v>44965</v>
      </c>
      <c r="R1358" s="1">
        <v>44973</v>
      </c>
      <c r="S1358" t="s">
        <v>2926</v>
      </c>
    </row>
    <row r="1359" spans="1:19" x14ac:dyDescent="0.3">
      <c r="A1359" s="1">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1">
        <v>45072</v>
      </c>
      <c r="R1359" s="1">
        <v>45082</v>
      </c>
      <c r="S1359" t="s">
        <v>2925</v>
      </c>
    </row>
    <row r="1360" spans="1:19" x14ac:dyDescent="0.3">
      <c r="A1360" s="1">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1">
        <v>45488</v>
      </c>
      <c r="R1360" s="1">
        <v>45495</v>
      </c>
      <c r="S1360" t="s">
        <v>2922</v>
      </c>
    </row>
    <row r="1361" spans="1:19" x14ac:dyDescent="0.3">
      <c r="A1361" s="1">
        <v>45644</v>
      </c>
      <c r="B1361" t="s">
        <v>21</v>
      </c>
      <c r="C1361" t="s">
        <v>28</v>
      </c>
      <c r="D1361">
        <v>9</v>
      </c>
      <c r="E1361">
        <v>306.42</v>
      </c>
      <c r="F1361" t="s">
        <v>33</v>
      </c>
      <c r="G1361" t="s">
        <v>35</v>
      </c>
      <c r="H1361">
        <v>0</v>
      </c>
      <c r="I1361" t="s">
        <v>42</v>
      </c>
      <c r="J1361">
        <v>2757.78</v>
      </c>
      <c r="K1361" t="s">
        <v>43</v>
      </c>
      <c r="M1361">
        <v>0</v>
      </c>
      <c r="N1361" t="s">
        <v>1410</v>
      </c>
      <c r="O1361" t="s">
        <v>2807</v>
      </c>
      <c r="P1361">
        <v>15.81</v>
      </c>
      <c r="Q1361" s="1">
        <v>45644</v>
      </c>
      <c r="R1361" s="1">
        <v>45653</v>
      </c>
      <c r="S1361" t="s">
        <v>2924</v>
      </c>
    </row>
    <row r="1362" spans="1:19" x14ac:dyDescent="0.3">
      <c r="A1362" s="1">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1">
        <v>45564</v>
      </c>
      <c r="R1362" s="1">
        <v>45573</v>
      </c>
      <c r="S1362" t="s">
        <v>2924</v>
      </c>
    </row>
    <row r="1363" spans="1:19" x14ac:dyDescent="0.3">
      <c r="A1363" s="1">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1">
        <v>45590</v>
      </c>
      <c r="R1363" s="1">
        <v>45597</v>
      </c>
      <c r="S1363" t="s">
        <v>2923</v>
      </c>
    </row>
    <row r="1364" spans="1:19" x14ac:dyDescent="0.3">
      <c r="A1364" s="1">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1">
        <v>45663</v>
      </c>
      <c r="R1364" s="1">
        <v>45673</v>
      </c>
      <c r="S1364" t="s">
        <v>2924</v>
      </c>
    </row>
    <row r="1365" spans="1:19" x14ac:dyDescent="0.3">
      <c r="A1365" s="1">
        <v>45249</v>
      </c>
      <c r="B1365" t="s">
        <v>22</v>
      </c>
      <c r="C1365" t="s">
        <v>29</v>
      </c>
      <c r="D1365">
        <v>3</v>
      </c>
      <c r="E1365">
        <v>101.34</v>
      </c>
      <c r="F1365" t="s">
        <v>32</v>
      </c>
      <c r="G1365" t="s">
        <v>35</v>
      </c>
      <c r="H1365">
        <v>0</v>
      </c>
      <c r="I1365" t="s">
        <v>40</v>
      </c>
      <c r="J1365">
        <v>304.02</v>
      </c>
      <c r="K1365" t="s">
        <v>46</v>
      </c>
      <c r="M1365">
        <v>0</v>
      </c>
      <c r="N1365" t="s">
        <v>1414</v>
      </c>
      <c r="O1365" t="s">
        <v>2811</v>
      </c>
      <c r="P1365">
        <v>23.15</v>
      </c>
      <c r="Q1365" s="1">
        <v>45249</v>
      </c>
      <c r="R1365" s="1">
        <v>45251</v>
      </c>
      <c r="S1365" t="s">
        <v>2925</v>
      </c>
    </row>
    <row r="1366" spans="1:19" x14ac:dyDescent="0.3">
      <c r="A1366" s="1">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1">
        <v>45393</v>
      </c>
      <c r="R1366" s="1">
        <v>45399</v>
      </c>
      <c r="S1366" t="s">
        <v>2923</v>
      </c>
    </row>
    <row r="1367" spans="1:19" x14ac:dyDescent="0.3">
      <c r="A1367" s="1">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1">
        <v>45381</v>
      </c>
      <c r="R1367" s="1">
        <v>45388</v>
      </c>
      <c r="S1367" t="s">
        <v>2923</v>
      </c>
    </row>
    <row r="1368" spans="1:19" x14ac:dyDescent="0.3">
      <c r="A1368" s="1">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1">
        <v>45621</v>
      </c>
      <c r="R1368" s="1">
        <v>45625</v>
      </c>
      <c r="S1368" t="s">
        <v>2924</v>
      </c>
    </row>
    <row r="1369" spans="1:19" x14ac:dyDescent="0.3">
      <c r="A1369" s="1">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1">
        <v>45663</v>
      </c>
      <c r="R1369" s="1">
        <v>45672</v>
      </c>
      <c r="S1369" t="s">
        <v>2924</v>
      </c>
    </row>
    <row r="1370" spans="1:19" x14ac:dyDescent="0.3">
      <c r="A1370" s="1">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1">
        <v>45031</v>
      </c>
      <c r="R1370" s="1">
        <v>45034</v>
      </c>
      <c r="S1370" t="s">
        <v>2926</v>
      </c>
    </row>
    <row r="1371" spans="1:19" x14ac:dyDescent="0.3">
      <c r="A1371" s="1">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1">
        <v>45329</v>
      </c>
      <c r="R1371" s="1">
        <v>45339</v>
      </c>
      <c r="S1371" t="s">
        <v>2922</v>
      </c>
    </row>
    <row r="1372" spans="1:19" x14ac:dyDescent="0.3">
      <c r="A1372" s="1">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1">
        <v>45079</v>
      </c>
      <c r="R1372" s="1">
        <v>45082</v>
      </c>
      <c r="S1372" t="s">
        <v>2922</v>
      </c>
    </row>
    <row r="1373" spans="1:19" x14ac:dyDescent="0.3">
      <c r="A1373" s="1">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1">
        <v>45162</v>
      </c>
      <c r="R1373" s="1">
        <v>45171</v>
      </c>
      <c r="S1373" t="s">
        <v>2922</v>
      </c>
    </row>
    <row r="1374" spans="1:19" x14ac:dyDescent="0.3">
      <c r="A1374" s="1">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1">
        <v>45632</v>
      </c>
      <c r="R1374" s="1">
        <v>45637</v>
      </c>
      <c r="S1374" t="s">
        <v>2923</v>
      </c>
    </row>
    <row r="1375" spans="1:19" x14ac:dyDescent="0.3">
      <c r="A1375" s="1">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1">
        <v>45268</v>
      </c>
      <c r="R1375" s="1">
        <v>45274</v>
      </c>
      <c r="S1375" t="s">
        <v>2922</v>
      </c>
    </row>
    <row r="1376" spans="1:19" x14ac:dyDescent="0.3">
      <c r="A1376" s="1">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1">
        <v>45058</v>
      </c>
      <c r="R1376" s="1">
        <v>45066</v>
      </c>
      <c r="S1376" t="s">
        <v>2923</v>
      </c>
    </row>
    <row r="1377" spans="1:19" x14ac:dyDescent="0.3">
      <c r="A1377" s="1">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1">
        <v>45771</v>
      </c>
      <c r="R1377" s="1">
        <v>45774</v>
      </c>
      <c r="S1377" t="s">
        <v>2926</v>
      </c>
    </row>
    <row r="1378" spans="1:19" x14ac:dyDescent="0.3">
      <c r="A1378" s="1">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1">
        <v>45039</v>
      </c>
      <c r="R1378" s="1">
        <v>45049</v>
      </c>
      <c r="S1378" t="s">
        <v>2925</v>
      </c>
    </row>
    <row r="1379" spans="1:19" x14ac:dyDescent="0.3">
      <c r="A1379" s="1">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1">
        <v>44944</v>
      </c>
      <c r="R1379" s="1">
        <v>44947</v>
      </c>
      <c r="S1379" t="s">
        <v>2924</v>
      </c>
    </row>
    <row r="1380" spans="1:19" x14ac:dyDescent="0.3">
      <c r="A1380" s="1">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1">
        <v>45788</v>
      </c>
      <c r="R1380" s="1">
        <v>45798</v>
      </c>
      <c r="S1380" t="s">
        <v>2924</v>
      </c>
    </row>
    <row r="1381" spans="1:19" x14ac:dyDescent="0.3">
      <c r="A1381" s="1">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1">
        <v>45649</v>
      </c>
      <c r="R1381" s="1">
        <v>45659</v>
      </c>
      <c r="S1381" t="s">
        <v>2926</v>
      </c>
    </row>
    <row r="1382" spans="1:19" x14ac:dyDescent="0.3">
      <c r="A1382" s="1">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1">
        <v>45158</v>
      </c>
      <c r="R1382" s="1">
        <v>45166</v>
      </c>
      <c r="S1382" t="s">
        <v>2926</v>
      </c>
    </row>
    <row r="1383" spans="1:19" x14ac:dyDescent="0.3">
      <c r="A1383" s="1">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1">
        <v>45734</v>
      </c>
      <c r="R1383" s="1">
        <v>45739</v>
      </c>
      <c r="S1383" t="s">
        <v>2925</v>
      </c>
    </row>
    <row r="1384" spans="1:19" x14ac:dyDescent="0.3">
      <c r="A1384" s="1">
        <v>45307</v>
      </c>
      <c r="B1384" t="s">
        <v>22</v>
      </c>
      <c r="C1384" t="s">
        <v>25</v>
      </c>
      <c r="D1384">
        <v>4</v>
      </c>
      <c r="E1384">
        <v>78.05</v>
      </c>
      <c r="F1384" t="s">
        <v>32</v>
      </c>
      <c r="G1384" t="s">
        <v>36</v>
      </c>
      <c r="H1384">
        <v>0</v>
      </c>
      <c r="I1384" t="s">
        <v>40</v>
      </c>
      <c r="J1384">
        <v>312.2</v>
      </c>
      <c r="K1384" t="s">
        <v>45</v>
      </c>
      <c r="M1384">
        <v>0</v>
      </c>
      <c r="N1384" t="s">
        <v>1433</v>
      </c>
      <c r="O1384" t="s">
        <v>2828</v>
      </c>
      <c r="P1384">
        <v>14.03</v>
      </c>
      <c r="Q1384" s="1">
        <v>45307</v>
      </c>
      <c r="R1384" s="1">
        <v>45315</v>
      </c>
      <c r="S1384" t="s">
        <v>2925</v>
      </c>
    </row>
    <row r="1385" spans="1:19" x14ac:dyDescent="0.3">
      <c r="A1385" s="1">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1">
        <v>45441</v>
      </c>
      <c r="R1385" s="1">
        <v>45451</v>
      </c>
      <c r="S1385" t="s">
        <v>2922</v>
      </c>
    </row>
    <row r="1386" spans="1:19" x14ac:dyDescent="0.3">
      <c r="A1386" s="1">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1">
        <v>45741</v>
      </c>
      <c r="R1386" s="1">
        <v>45743</v>
      </c>
      <c r="S1386" t="s">
        <v>2923</v>
      </c>
    </row>
    <row r="1387" spans="1:19" x14ac:dyDescent="0.3">
      <c r="A1387" s="1">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1">
        <v>45738</v>
      </c>
      <c r="R1387" s="1">
        <v>45743</v>
      </c>
      <c r="S1387" t="s">
        <v>2925</v>
      </c>
    </row>
    <row r="1388" spans="1:19" x14ac:dyDescent="0.3">
      <c r="A1388" s="1">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1">
        <v>45521</v>
      </c>
      <c r="R1388" s="1">
        <v>45528</v>
      </c>
      <c r="S1388" t="s">
        <v>2922</v>
      </c>
    </row>
    <row r="1389" spans="1:19" x14ac:dyDescent="0.3">
      <c r="A1389" s="1">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1">
        <v>45445</v>
      </c>
      <c r="R1389" s="1">
        <v>45455</v>
      </c>
      <c r="S1389" t="s">
        <v>2923</v>
      </c>
    </row>
    <row r="1390" spans="1:19" x14ac:dyDescent="0.3">
      <c r="A1390" s="1">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1">
        <v>45016</v>
      </c>
      <c r="R1390" s="1">
        <v>45026</v>
      </c>
      <c r="S1390" t="s">
        <v>2923</v>
      </c>
    </row>
    <row r="1391" spans="1:19" x14ac:dyDescent="0.3">
      <c r="A1391" s="1">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1">
        <v>45431</v>
      </c>
      <c r="R1391" s="1">
        <v>45435</v>
      </c>
      <c r="S1391" t="s">
        <v>2926</v>
      </c>
    </row>
    <row r="1392" spans="1:19" x14ac:dyDescent="0.3">
      <c r="A1392" s="1">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1">
        <v>44987</v>
      </c>
      <c r="R1392" s="1">
        <v>44990</v>
      </c>
      <c r="S1392" t="s">
        <v>2926</v>
      </c>
    </row>
    <row r="1393" spans="1:19" x14ac:dyDescent="0.3">
      <c r="A1393" s="1">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1">
        <v>44998</v>
      </c>
      <c r="R1393" s="1">
        <v>45007</v>
      </c>
      <c r="S1393" t="s">
        <v>2924</v>
      </c>
    </row>
    <row r="1394" spans="1:19" x14ac:dyDescent="0.3">
      <c r="A1394" s="1">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1">
        <v>45763</v>
      </c>
      <c r="R1394" s="1">
        <v>45765</v>
      </c>
      <c r="S1394" t="s">
        <v>2926</v>
      </c>
    </row>
    <row r="1395" spans="1:19" x14ac:dyDescent="0.3">
      <c r="A1395" s="1">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1">
        <v>45448</v>
      </c>
      <c r="R1395" s="1">
        <v>45458</v>
      </c>
      <c r="S1395" t="s">
        <v>2924</v>
      </c>
    </row>
    <row r="1396" spans="1:19" x14ac:dyDescent="0.3">
      <c r="A1396" s="1">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1">
        <v>45536</v>
      </c>
      <c r="R1396" s="1">
        <v>45540</v>
      </c>
      <c r="S1396" t="s">
        <v>2924</v>
      </c>
    </row>
    <row r="1397" spans="1:19" x14ac:dyDescent="0.3">
      <c r="A1397" s="1">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1">
        <v>45556</v>
      </c>
      <c r="R1397" s="1">
        <v>45565</v>
      </c>
      <c r="S1397" t="s">
        <v>2924</v>
      </c>
    </row>
    <row r="1398" spans="1:19" x14ac:dyDescent="0.3">
      <c r="A1398" s="1">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1">
        <v>45668</v>
      </c>
      <c r="R1398" s="1">
        <v>45673</v>
      </c>
      <c r="S1398" t="s">
        <v>2924</v>
      </c>
    </row>
    <row r="1399" spans="1:19" x14ac:dyDescent="0.3">
      <c r="A1399" s="1">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1">
        <v>44930</v>
      </c>
      <c r="R1399" s="1">
        <v>44934</v>
      </c>
      <c r="S1399" t="s">
        <v>2926</v>
      </c>
    </row>
    <row r="1400" spans="1:19" x14ac:dyDescent="0.3">
      <c r="A1400" s="1">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1">
        <v>45048</v>
      </c>
      <c r="R1400" s="1">
        <v>45051</v>
      </c>
      <c r="S1400" t="s">
        <v>2926</v>
      </c>
    </row>
    <row r="1401" spans="1:19" x14ac:dyDescent="0.3">
      <c r="A1401" s="1">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1">
        <v>45116</v>
      </c>
      <c r="R1401" s="1">
        <v>45121</v>
      </c>
      <c r="S1401" t="s">
        <v>2922</v>
      </c>
    </row>
    <row r="1402" spans="1:19" x14ac:dyDescent="0.3">
      <c r="A1402" s="1">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1">
        <v>45715</v>
      </c>
      <c r="R1402" s="1">
        <v>45720</v>
      </c>
      <c r="S1402" t="s">
        <v>2922</v>
      </c>
    </row>
    <row r="1403" spans="1:19" x14ac:dyDescent="0.3">
      <c r="A1403" s="1">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1">
        <v>45558</v>
      </c>
      <c r="R1403" s="1">
        <v>45564</v>
      </c>
      <c r="S1403" t="s">
        <v>2926</v>
      </c>
    </row>
    <row r="1404" spans="1:19" x14ac:dyDescent="0.3">
      <c r="A1404" s="1">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1">
        <v>45830</v>
      </c>
      <c r="R1404" s="1">
        <v>45839</v>
      </c>
      <c r="S1404" t="s">
        <v>2922</v>
      </c>
    </row>
    <row r="1405" spans="1:19" x14ac:dyDescent="0.3">
      <c r="A1405" s="1">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1">
        <v>45676</v>
      </c>
      <c r="R1405" s="1">
        <v>45685</v>
      </c>
      <c r="S1405" t="s">
        <v>2925</v>
      </c>
    </row>
    <row r="1406" spans="1:19" x14ac:dyDescent="0.3">
      <c r="A1406" s="1">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1">
        <v>45691</v>
      </c>
      <c r="R1406" s="1">
        <v>45696</v>
      </c>
      <c r="S1406" t="s">
        <v>2922</v>
      </c>
    </row>
    <row r="1407" spans="1:19" x14ac:dyDescent="0.3">
      <c r="A1407" s="1">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1">
        <v>45241</v>
      </c>
      <c r="R1407" s="1">
        <v>45247</v>
      </c>
      <c r="S1407" t="s">
        <v>2922</v>
      </c>
    </row>
    <row r="1408" spans="1:19" x14ac:dyDescent="0.3">
      <c r="A1408" s="1">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1">
        <v>45420</v>
      </c>
      <c r="R1408" s="1">
        <v>45422</v>
      </c>
      <c r="S1408" t="s">
        <v>2922</v>
      </c>
    </row>
    <row r="1409" spans="1:19" x14ac:dyDescent="0.3">
      <c r="A1409" s="1">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1">
        <v>45187</v>
      </c>
      <c r="R1409" s="1">
        <v>45196</v>
      </c>
      <c r="S1409" t="s">
        <v>2923</v>
      </c>
    </row>
    <row r="1410" spans="1:19" x14ac:dyDescent="0.3">
      <c r="A1410" s="1">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1">
        <v>45752</v>
      </c>
      <c r="R1410" s="1">
        <v>45760</v>
      </c>
      <c r="S1410" t="s">
        <v>2925</v>
      </c>
    </row>
    <row r="1411" spans="1:19" x14ac:dyDescent="0.3">
      <c r="A1411" s="1">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1">
        <v>45182</v>
      </c>
      <c r="R1411" s="1">
        <v>45184</v>
      </c>
      <c r="S1411" t="s">
        <v>2925</v>
      </c>
    </row>
    <row r="1412" spans="1:19" x14ac:dyDescent="0.3">
      <c r="A1412" s="1">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1">
        <v>45471</v>
      </c>
      <c r="R1412" s="1">
        <v>45479</v>
      </c>
      <c r="S1412" t="s">
        <v>2922</v>
      </c>
    </row>
    <row r="1413" spans="1:19" x14ac:dyDescent="0.3">
      <c r="A1413" s="1">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1">
        <v>45022</v>
      </c>
      <c r="R1413" s="1">
        <v>45024</v>
      </c>
      <c r="S1413" t="s">
        <v>2925</v>
      </c>
    </row>
    <row r="1414" spans="1:19" x14ac:dyDescent="0.3">
      <c r="A1414" s="1">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1">
        <v>45059</v>
      </c>
      <c r="R1414" s="1">
        <v>45064</v>
      </c>
      <c r="S1414" t="s">
        <v>2923</v>
      </c>
    </row>
    <row r="1415" spans="1:19" x14ac:dyDescent="0.3">
      <c r="A1415" s="1">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1">
        <v>45784</v>
      </c>
      <c r="R1415" s="1">
        <v>45792</v>
      </c>
      <c r="S1415" t="s">
        <v>2922</v>
      </c>
    </row>
    <row r="1416" spans="1:19" x14ac:dyDescent="0.3">
      <c r="A1416" s="1">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1">
        <v>45738</v>
      </c>
      <c r="R1416" s="1">
        <v>45743</v>
      </c>
      <c r="S1416" t="s">
        <v>2924</v>
      </c>
    </row>
    <row r="1417" spans="1:19" x14ac:dyDescent="0.3">
      <c r="A1417" s="1">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1">
        <v>45467</v>
      </c>
      <c r="R1417" s="1">
        <v>45475</v>
      </c>
      <c r="S1417" t="s">
        <v>2923</v>
      </c>
    </row>
    <row r="1418" spans="1:19" x14ac:dyDescent="0.3">
      <c r="A1418" s="1">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1">
        <v>45837</v>
      </c>
      <c r="R1418" s="1">
        <v>45841</v>
      </c>
      <c r="S1418" t="s">
        <v>2926</v>
      </c>
    </row>
    <row r="1419" spans="1:19" x14ac:dyDescent="0.3">
      <c r="A1419" s="1">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1">
        <v>45383</v>
      </c>
      <c r="R1419" s="1">
        <v>45392</v>
      </c>
      <c r="S1419" t="s">
        <v>2926</v>
      </c>
    </row>
    <row r="1420" spans="1:19" x14ac:dyDescent="0.3">
      <c r="A1420" s="1">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1">
        <v>45447</v>
      </c>
      <c r="R1420" s="1">
        <v>45457</v>
      </c>
      <c r="S1420" t="s">
        <v>2924</v>
      </c>
    </row>
    <row r="1421" spans="1:19" x14ac:dyDescent="0.3">
      <c r="A1421" s="1">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1">
        <v>45015</v>
      </c>
      <c r="R1421" s="1">
        <v>45022</v>
      </c>
      <c r="S1421" t="s">
        <v>2922</v>
      </c>
    </row>
    <row r="1422" spans="1:19" x14ac:dyDescent="0.3">
      <c r="A1422" s="1">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1">
        <v>45742</v>
      </c>
      <c r="R1422" s="1">
        <v>45744</v>
      </c>
      <c r="S1422" t="s">
        <v>2922</v>
      </c>
    </row>
    <row r="1423" spans="1:19" x14ac:dyDescent="0.3">
      <c r="A1423" s="1">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1">
        <v>45160</v>
      </c>
      <c r="R1423" s="1">
        <v>45162</v>
      </c>
      <c r="S1423" t="s">
        <v>2926</v>
      </c>
    </row>
    <row r="1424" spans="1:19" x14ac:dyDescent="0.3">
      <c r="A1424" s="1">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1">
        <v>45398</v>
      </c>
      <c r="R1424" s="1">
        <v>45402</v>
      </c>
      <c r="S1424" t="s">
        <v>2923</v>
      </c>
    </row>
    <row r="1425" spans="1:19" x14ac:dyDescent="0.3">
      <c r="A1425" s="1">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1">
        <v>45788</v>
      </c>
      <c r="R1425" s="1">
        <v>45796</v>
      </c>
      <c r="S1425" t="s">
        <v>2925</v>
      </c>
    </row>
    <row r="1426" spans="1:19" x14ac:dyDescent="0.3">
      <c r="A1426" s="1">
        <v>45271</v>
      </c>
      <c r="B1426" t="s">
        <v>21</v>
      </c>
      <c r="C1426" t="s">
        <v>30</v>
      </c>
      <c r="D1426">
        <v>16</v>
      </c>
      <c r="E1426">
        <v>438.71</v>
      </c>
      <c r="F1426" t="s">
        <v>33</v>
      </c>
      <c r="G1426" t="s">
        <v>36</v>
      </c>
      <c r="H1426">
        <v>0</v>
      </c>
      <c r="I1426" t="s">
        <v>38</v>
      </c>
      <c r="J1426">
        <v>7019.36</v>
      </c>
      <c r="K1426" t="s">
        <v>43</v>
      </c>
      <c r="M1426">
        <v>0</v>
      </c>
      <c r="N1426" t="s">
        <v>1475</v>
      </c>
      <c r="O1426" t="s">
        <v>2860</v>
      </c>
      <c r="P1426">
        <v>6.53</v>
      </c>
      <c r="Q1426" s="1">
        <v>45271</v>
      </c>
      <c r="R1426" s="1">
        <v>45281</v>
      </c>
      <c r="S1426" t="s">
        <v>2924</v>
      </c>
    </row>
    <row r="1427" spans="1:19" x14ac:dyDescent="0.3">
      <c r="A1427" s="1">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1">
        <v>44942</v>
      </c>
      <c r="R1427" s="1">
        <v>44947</v>
      </c>
      <c r="S1427" t="s">
        <v>2924</v>
      </c>
    </row>
    <row r="1428" spans="1:19" x14ac:dyDescent="0.3">
      <c r="A1428" s="1">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1">
        <v>45056</v>
      </c>
      <c r="R1428" s="1">
        <v>45063</v>
      </c>
      <c r="S1428" t="s">
        <v>2922</v>
      </c>
    </row>
    <row r="1429" spans="1:19" x14ac:dyDescent="0.3">
      <c r="A1429" s="1">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1">
        <v>45465</v>
      </c>
      <c r="R1429" s="1">
        <v>45472</v>
      </c>
      <c r="S1429" t="s">
        <v>2925</v>
      </c>
    </row>
    <row r="1430" spans="1:19" x14ac:dyDescent="0.3">
      <c r="A1430" s="1">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1">
        <v>45745</v>
      </c>
      <c r="R1430" s="1">
        <v>45754</v>
      </c>
      <c r="S1430" t="s">
        <v>2926</v>
      </c>
    </row>
    <row r="1431" spans="1:19" x14ac:dyDescent="0.3">
      <c r="A1431" s="1">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1">
        <v>45034</v>
      </c>
      <c r="R1431" s="1">
        <v>45039</v>
      </c>
      <c r="S1431" t="s">
        <v>2924</v>
      </c>
    </row>
    <row r="1432" spans="1:19" x14ac:dyDescent="0.3">
      <c r="A1432" s="1">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1">
        <v>44964</v>
      </c>
      <c r="R1432" s="1">
        <v>44966</v>
      </c>
      <c r="S1432" t="s">
        <v>2925</v>
      </c>
    </row>
    <row r="1433" spans="1:19" x14ac:dyDescent="0.3">
      <c r="A1433" s="1">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1">
        <v>45679</v>
      </c>
      <c r="R1433" s="1">
        <v>45682</v>
      </c>
      <c r="S1433" t="s">
        <v>2922</v>
      </c>
    </row>
    <row r="1434" spans="1:19" x14ac:dyDescent="0.3">
      <c r="A1434" s="1">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1">
        <v>45111</v>
      </c>
      <c r="R1434" s="1">
        <v>45119</v>
      </c>
      <c r="S1434" t="s">
        <v>2922</v>
      </c>
    </row>
    <row r="1435" spans="1:19" x14ac:dyDescent="0.3">
      <c r="A1435" s="1">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1">
        <v>45138</v>
      </c>
      <c r="R1435" s="1">
        <v>45141</v>
      </c>
      <c r="S1435" t="s">
        <v>2925</v>
      </c>
    </row>
    <row r="1436" spans="1:19" x14ac:dyDescent="0.3">
      <c r="A1436" s="1">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1">
        <v>45036</v>
      </c>
      <c r="R1436" s="1">
        <v>45043</v>
      </c>
      <c r="S1436" t="s">
        <v>2924</v>
      </c>
    </row>
    <row r="1437" spans="1:19" x14ac:dyDescent="0.3">
      <c r="A1437" s="1">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1">
        <v>45573</v>
      </c>
      <c r="R1437" s="1">
        <v>45576</v>
      </c>
      <c r="S1437" t="s">
        <v>2925</v>
      </c>
    </row>
    <row r="1438" spans="1:19" x14ac:dyDescent="0.3">
      <c r="A1438" s="1">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1">
        <v>45316</v>
      </c>
      <c r="R1438" s="1">
        <v>45318</v>
      </c>
      <c r="S1438" t="s">
        <v>2922</v>
      </c>
    </row>
    <row r="1439" spans="1:19" x14ac:dyDescent="0.3">
      <c r="A1439" s="1">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1">
        <v>45642</v>
      </c>
      <c r="R1439" s="1">
        <v>45651</v>
      </c>
      <c r="S1439" t="s">
        <v>2923</v>
      </c>
    </row>
    <row r="1440" spans="1:19" x14ac:dyDescent="0.3">
      <c r="A1440" s="1">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1">
        <v>45589</v>
      </c>
      <c r="R1440" s="1">
        <v>45597</v>
      </c>
      <c r="S1440" t="s">
        <v>2925</v>
      </c>
    </row>
    <row r="1441" spans="1:19" x14ac:dyDescent="0.3">
      <c r="A1441" s="1">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1">
        <v>45246</v>
      </c>
      <c r="R1441" s="1">
        <v>45250</v>
      </c>
      <c r="S1441" t="s">
        <v>2926</v>
      </c>
    </row>
    <row r="1442" spans="1:19" x14ac:dyDescent="0.3">
      <c r="A1442" s="1">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1">
        <v>45382</v>
      </c>
      <c r="R1442" s="1">
        <v>45390</v>
      </c>
      <c r="S1442" t="s">
        <v>2923</v>
      </c>
    </row>
    <row r="1443" spans="1:19" x14ac:dyDescent="0.3">
      <c r="A1443" s="1">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1">
        <v>44970</v>
      </c>
      <c r="R1443" s="1">
        <v>44975</v>
      </c>
      <c r="S1443" t="s">
        <v>2922</v>
      </c>
    </row>
    <row r="1444" spans="1:19" x14ac:dyDescent="0.3">
      <c r="A1444" s="1">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1">
        <v>45189</v>
      </c>
      <c r="R1444" s="1">
        <v>45196</v>
      </c>
      <c r="S1444" t="s">
        <v>2923</v>
      </c>
    </row>
    <row r="1445" spans="1:19" x14ac:dyDescent="0.3">
      <c r="A1445" s="1">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1">
        <v>45104</v>
      </c>
      <c r="R1445" s="1">
        <v>45114</v>
      </c>
      <c r="S1445" t="s">
        <v>2923</v>
      </c>
    </row>
    <row r="1446" spans="1:19" x14ac:dyDescent="0.3">
      <c r="A1446" s="1">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1">
        <v>45749</v>
      </c>
      <c r="R1446" s="1">
        <v>45753</v>
      </c>
      <c r="S1446" t="s">
        <v>2925</v>
      </c>
    </row>
    <row r="1447" spans="1:19" x14ac:dyDescent="0.3">
      <c r="A1447" s="1">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1">
        <v>45763</v>
      </c>
      <c r="R1447" s="1">
        <v>45773</v>
      </c>
      <c r="S1447" t="s">
        <v>2924</v>
      </c>
    </row>
    <row r="1448" spans="1:19" x14ac:dyDescent="0.3">
      <c r="A1448" s="1">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1">
        <v>45482</v>
      </c>
      <c r="R1448" s="1">
        <v>45490</v>
      </c>
      <c r="S1448" t="s">
        <v>2925</v>
      </c>
    </row>
    <row r="1449" spans="1:19" x14ac:dyDescent="0.3">
      <c r="A1449" s="1">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1">
        <v>45831</v>
      </c>
      <c r="R1449" s="1">
        <v>45841</v>
      </c>
      <c r="S1449" t="s">
        <v>2922</v>
      </c>
    </row>
    <row r="1450" spans="1:19" x14ac:dyDescent="0.3">
      <c r="A1450" s="1">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1">
        <v>45452</v>
      </c>
      <c r="R1450" s="1">
        <v>45461</v>
      </c>
      <c r="S1450" t="s">
        <v>2922</v>
      </c>
    </row>
    <row r="1451" spans="1:19" x14ac:dyDescent="0.3">
      <c r="A1451" s="1">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1">
        <v>45261</v>
      </c>
      <c r="R1451" s="1">
        <v>45263</v>
      </c>
      <c r="S1451" t="s">
        <v>2925</v>
      </c>
    </row>
    <row r="1452" spans="1:19" x14ac:dyDescent="0.3">
      <c r="A1452" s="1">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1">
        <v>45497</v>
      </c>
      <c r="R1452" s="1">
        <v>45503</v>
      </c>
      <c r="S1452" t="s">
        <v>2926</v>
      </c>
    </row>
    <row r="1453" spans="1:19" x14ac:dyDescent="0.3">
      <c r="A1453" s="1">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1">
        <v>45028</v>
      </c>
      <c r="R1453" s="1">
        <v>45035</v>
      </c>
      <c r="S1453" t="s">
        <v>2926</v>
      </c>
    </row>
    <row r="1454" spans="1:19" x14ac:dyDescent="0.3">
      <c r="A1454" s="1">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1">
        <v>45643</v>
      </c>
      <c r="R1454" s="1">
        <v>45652</v>
      </c>
      <c r="S1454" t="s">
        <v>2924</v>
      </c>
    </row>
    <row r="1455" spans="1:19" x14ac:dyDescent="0.3">
      <c r="A1455" s="1">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1">
        <v>45512</v>
      </c>
      <c r="R1455" s="1">
        <v>45518</v>
      </c>
      <c r="S1455" t="s">
        <v>2923</v>
      </c>
    </row>
    <row r="1456" spans="1:19" x14ac:dyDescent="0.3">
      <c r="A1456" s="1">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1">
        <v>45550</v>
      </c>
      <c r="R1456" s="1">
        <v>45557</v>
      </c>
      <c r="S1456" t="s">
        <v>2922</v>
      </c>
    </row>
    <row r="1457" spans="1:19" x14ac:dyDescent="0.3">
      <c r="A1457" s="1">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1">
        <v>45207</v>
      </c>
      <c r="R1457" s="1">
        <v>45209</v>
      </c>
      <c r="S1457" t="s">
        <v>2923</v>
      </c>
    </row>
    <row r="1458" spans="1:19" x14ac:dyDescent="0.3">
      <c r="A1458" s="1">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1">
        <v>45800</v>
      </c>
      <c r="R1458" s="1">
        <v>45804</v>
      </c>
      <c r="S1458" t="s">
        <v>2923</v>
      </c>
    </row>
    <row r="1459" spans="1:19" x14ac:dyDescent="0.3">
      <c r="A1459" s="1">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1">
        <v>44928</v>
      </c>
      <c r="R1459" s="1">
        <v>44938</v>
      </c>
      <c r="S1459" t="s">
        <v>2923</v>
      </c>
    </row>
    <row r="1460" spans="1:19" x14ac:dyDescent="0.3">
      <c r="A1460" s="1">
        <v>45218</v>
      </c>
      <c r="B1460" t="s">
        <v>21</v>
      </c>
      <c r="C1460" t="s">
        <v>26</v>
      </c>
      <c r="D1460">
        <v>15</v>
      </c>
      <c r="E1460">
        <v>434.44</v>
      </c>
      <c r="F1460" t="s">
        <v>31</v>
      </c>
      <c r="G1460" t="s">
        <v>35</v>
      </c>
      <c r="H1460">
        <v>0</v>
      </c>
      <c r="I1460" t="s">
        <v>42</v>
      </c>
      <c r="J1460">
        <v>6516.6</v>
      </c>
      <c r="K1460" t="s">
        <v>46</v>
      </c>
      <c r="M1460">
        <v>1</v>
      </c>
      <c r="N1460" t="s">
        <v>1509</v>
      </c>
      <c r="O1460" t="s">
        <v>2887</v>
      </c>
      <c r="P1460">
        <v>33.86</v>
      </c>
      <c r="Q1460" s="1">
        <v>45218</v>
      </c>
      <c r="R1460" s="1">
        <v>45227</v>
      </c>
      <c r="S1460" t="s">
        <v>2924</v>
      </c>
    </row>
    <row r="1461" spans="1:19" x14ac:dyDescent="0.3">
      <c r="A1461" s="1">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1">
        <v>45772</v>
      </c>
      <c r="R1461" s="1">
        <v>45778</v>
      </c>
      <c r="S1461" t="s">
        <v>2926</v>
      </c>
    </row>
    <row r="1462" spans="1:19" x14ac:dyDescent="0.3">
      <c r="A1462" s="1">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1">
        <v>45382</v>
      </c>
      <c r="R1462" s="1">
        <v>45386</v>
      </c>
      <c r="S1462" t="s">
        <v>2925</v>
      </c>
    </row>
    <row r="1463" spans="1:19" x14ac:dyDescent="0.3">
      <c r="A1463" s="1">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1">
        <v>45688</v>
      </c>
      <c r="R1463" s="1">
        <v>45695</v>
      </c>
      <c r="S1463" t="s">
        <v>2924</v>
      </c>
    </row>
    <row r="1464" spans="1:19" x14ac:dyDescent="0.3">
      <c r="A1464" s="1">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1">
        <v>45743</v>
      </c>
      <c r="R1464" s="1">
        <v>45753</v>
      </c>
      <c r="S1464" t="s">
        <v>2922</v>
      </c>
    </row>
    <row r="1465" spans="1:19" x14ac:dyDescent="0.3">
      <c r="A1465" s="1">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1">
        <v>45676</v>
      </c>
      <c r="R1465" s="1">
        <v>45681</v>
      </c>
      <c r="S1465" t="s">
        <v>2925</v>
      </c>
    </row>
    <row r="1466" spans="1:19" x14ac:dyDescent="0.3">
      <c r="A1466" s="1">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1">
        <v>45428</v>
      </c>
      <c r="R1466" s="1">
        <v>45433</v>
      </c>
      <c r="S1466" t="s">
        <v>2924</v>
      </c>
    </row>
    <row r="1467" spans="1:19" x14ac:dyDescent="0.3">
      <c r="A1467" s="1">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1">
        <v>45173</v>
      </c>
      <c r="R1467" s="1">
        <v>45175</v>
      </c>
      <c r="S1467" t="s">
        <v>2925</v>
      </c>
    </row>
    <row r="1468" spans="1:19" x14ac:dyDescent="0.3">
      <c r="A1468" s="1">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1">
        <v>45277</v>
      </c>
      <c r="R1468" s="1">
        <v>45283</v>
      </c>
      <c r="S1468" t="s">
        <v>2923</v>
      </c>
    </row>
    <row r="1469" spans="1:19" x14ac:dyDescent="0.3">
      <c r="A1469" s="1">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1">
        <v>45306</v>
      </c>
      <c r="R1469" s="1">
        <v>45312</v>
      </c>
      <c r="S1469" t="s">
        <v>2925</v>
      </c>
    </row>
    <row r="1470" spans="1:19" x14ac:dyDescent="0.3">
      <c r="A1470" s="1">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1">
        <v>45645</v>
      </c>
      <c r="R1470" s="1">
        <v>45655</v>
      </c>
      <c r="S1470" t="s">
        <v>2925</v>
      </c>
    </row>
    <row r="1471" spans="1:19" x14ac:dyDescent="0.3">
      <c r="A1471" s="1">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1">
        <v>45276</v>
      </c>
      <c r="R1471" s="1">
        <v>45278</v>
      </c>
      <c r="S1471" t="s">
        <v>2924</v>
      </c>
    </row>
    <row r="1472" spans="1:19" x14ac:dyDescent="0.3">
      <c r="A1472" s="1">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1">
        <v>45791</v>
      </c>
      <c r="R1472" s="1">
        <v>45795</v>
      </c>
      <c r="S1472" t="s">
        <v>2925</v>
      </c>
    </row>
    <row r="1473" spans="1:19" x14ac:dyDescent="0.3">
      <c r="A1473" s="1">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1">
        <v>45107</v>
      </c>
      <c r="R1473" s="1">
        <v>45109</v>
      </c>
      <c r="S1473" t="s">
        <v>2923</v>
      </c>
    </row>
    <row r="1474" spans="1:19" x14ac:dyDescent="0.3">
      <c r="A1474" s="1">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1">
        <v>45838</v>
      </c>
      <c r="R1474" s="1">
        <v>45845</v>
      </c>
      <c r="S1474" t="s">
        <v>2923</v>
      </c>
    </row>
    <row r="1475" spans="1:19" x14ac:dyDescent="0.3">
      <c r="A1475" s="1">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1">
        <v>45730</v>
      </c>
      <c r="R1475" s="1">
        <v>45738</v>
      </c>
      <c r="S1475" t="s">
        <v>2925</v>
      </c>
    </row>
    <row r="1476" spans="1:19" x14ac:dyDescent="0.3">
      <c r="A1476" s="1">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1">
        <v>45034</v>
      </c>
      <c r="R1476" s="1">
        <v>45043</v>
      </c>
      <c r="S1476" t="s">
        <v>2923</v>
      </c>
    </row>
    <row r="1477" spans="1:19" x14ac:dyDescent="0.3">
      <c r="A1477" s="1">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1">
        <v>45546</v>
      </c>
      <c r="R1477" s="1">
        <v>45554</v>
      </c>
      <c r="S1477" t="s">
        <v>2926</v>
      </c>
    </row>
    <row r="1478" spans="1:19" x14ac:dyDescent="0.3">
      <c r="A1478" s="1">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1">
        <v>45251</v>
      </c>
      <c r="R1478" s="1">
        <v>45258</v>
      </c>
      <c r="S1478" t="s">
        <v>2925</v>
      </c>
    </row>
    <row r="1479" spans="1:19" x14ac:dyDescent="0.3">
      <c r="A1479" s="1">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1">
        <v>45351</v>
      </c>
      <c r="R1479" s="1">
        <v>45358</v>
      </c>
      <c r="S1479" t="s">
        <v>2926</v>
      </c>
    </row>
    <row r="1480" spans="1:19" x14ac:dyDescent="0.3">
      <c r="A1480" s="1">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1">
        <v>45057</v>
      </c>
      <c r="R1480" s="1">
        <v>45061</v>
      </c>
      <c r="S1480" t="s">
        <v>2926</v>
      </c>
    </row>
    <row r="1481" spans="1:19" x14ac:dyDescent="0.3">
      <c r="A1481" s="1">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1">
        <v>45546</v>
      </c>
      <c r="R1481" s="1">
        <v>45555</v>
      </c>
      <c r="S1481" t="s">
        <v>2923</v>
      </c>
    </row>
    <row r="1482" spans="1:19" x14ac:dyDescent="0.3">
      <c r="A1482" s="1">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1">
        <v>45520</v>
      </c>
      <c r="R1482" s="1">
        <v>45526</v>
      </c>
      <c r="S1482" t="s">
        <v>2926</v>
      </c>
    </row>
    <row r="1483" spans="1:19" x14ac:dyDescent="0.3">
      <c r="A1483" s="1">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1">
        <v>45807</v>
      </c>
      <c r="R1483" s="1">
        <v>45815</v>
      </c>
      <c r="S1483" t="s">
        <v>2924</v>
      </c>
    </row>
    <row r="1484" spans="1:19" x14ac:dyDescent="0.3">
      <c r="A1484" s="1">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1">
        <v>45160</v>
      </c>
      <c r="R1484" s="1">
        <v>45166</v>
      </c>
      <c r="S1484" t="s">
        <v>2922</v>
      </c>
    </row>
    <row r="1485" spans="1:19" x14ac:dyDescent="0.3">
      <c r="A1485" s="1">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1">
        <v>45314</v>
      </c>
      <c r="R1485" s="1">
        <v>45316</v>
      </c>
      <c r="S1485" t="s">
        <v>2922</v>
      </c>
    </row>
    <row r="1486" spans="1:19" x14ac:dyDescent="0.3">
      <c r="A1486" s="1">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1">
        <v>45001</v>
      </c>
      <c r="R1486" s="1">
        <v>45008</v>
      </c>
      <c r="S1486" t="s">
        <v>2924</v>
      </c>
    </row>
    <row r="1487" spans="1:19" x14ac:dyDescent="0.3">
      <c r="A1487" s="1">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1">
        <v>45793</v>
      </c>
      <c r="R1487" s="1">
        <v>45798</v>
      </c>
      <c r="S1487" t="s">
        <v>2923</v>
      </c>
    </row>
    <row r="1488" spans="1:19" x14ac:dyDescent="0.3">
      <c r="A1488" s="1">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1">
        <v>45069</v>
      </c>
      <c r="R1488" s="1">
        <v>45075</v>
      </c>
      <c r="S1488" t="s">
        <v>2922</v>
      </c>
    </row>
    <row r="1489" spans="1:19" x14ac:dyDescent="0.3">
      <c r="A1489" s="1">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1">
        <v>45459</v>
      </c>
      <c r="R1489" s="1">
        <v>45466</v>
      </c>
      <c r="S1489" t="s">
        <v>2924</v>
      </c>
    </row>
    <row r="1490" spans="1:19" x14ac:dyDescent="0.3">
      <c r="A1490" s="1">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1">
        <v>45685</v>
      </c>
      <c r="R1490" s="1">
        <v>45692</v>
      </c>
      <c r="S1490" t="s">
        <v>2925</v>
      </c>
    </row>
    <row r="1491" spans="1:19" x14ac:dyDescent="0.3">
      <c r="A1491" s="1">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1">
        <v>45623</v>
      </c>
      <c r="R1491" s="1">
        <v>45633</v>
      </c>
      <c r="S1491" t="s">
        <v>2923</v>
      </c>
    </row>
    <row r="1492" spans="1:19" x14ac:dyDescent="0.3">
      <c r="A1492" s="1">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1">
        <v>45208</v>
      </c>
      <c r="R1492" s="1">
        <v>45210</v>
      </c>
      <c r="S1492" t="s">
        <v>2925</v>
      </c>
    </row>
    <row r="1493" spans="1:19" x14ac:dyDescent="0.3">
      <c r="A1493" s="1">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1">
        <v>45494</v>
      </c>
      <c r="R1493" s="1">
        <v>45504</v>
      </c>
      <c r="S1493" t="s">
        <v>2926</v>
      </c>
    </row>
    <row r="1494" spans="1:19" x14ac:dyDescent="0.3">
      <c r="A1494" s="1">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1">
        <v>45476</v>
      </c>
      <c r="R1494" s="1">
        <v>45480</v>
      </c>
      <c r="S1494" t="s">
        <v>2922</v>
      </c>
    </row>
    <row r="1495" spans="1:19" x14ac:dyDescent="0.3">
      <c r="A1495" s="1">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1">
        <v>45559</v>
      </c>
      <c r="R1495" s="1">
        <v>45567</v>
      </c>
      <c r="S1495" t="s">
        <v>2926</v>
      </c>
    </row>
    <row r="1496" spans="1:19" x14ac:dyDescent="0.3">
      <c r="A1496" s="1">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1">
        <v>45671</v>
      </c>
      <c r="R1496" s="1">
        <v>45678</v>
      </c>
      <c r="S1496" t="s">
        <v>2922</v>
      </c>
    </row>
    <row r="1497" spans="1:19" x14ac:dyDescent="0.3">
      <c r="A1497" s="1">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1">
        <v>45705</v>
      </c>
      <c r="R1497" s="1">
        <v>45710</v>
      </c>
      <c r="S1497" t="s">
        <v>2926</v>
      </c>
    </row>
    <row r="1498" spans="1:19" x14ac:dyDescent="0.3">
      <c r="A1498" s="1">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1">
        <v>45302</v>
      </c>
      <c r="R1498" s="1">
        <v>45308</v>
      </c>
      <c r="S1498" t="s">
        <v>2923</v>
      </c>
    </row>
    <row r="1499" spans="1:19" x14ac:dyDescent="0.3">
      <c r="A1499" s="1">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1">
        <v>45500</v>
      </c>
      <c r="R1499" s="1">
        <v>45507</v>
      </c>
      <c r="S1499" t="s">
        <v>2922</v>
      </c>
    </row>
    <row r="1500" spans="1:19" x14ac:dyDescent="0.3">
      <c r="A1500" s="1">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1">
        <v>45629</v>
      </c>
      <c r="R1500" s="1">
        <v>45636</v>
      </c>
      <c r="S1500" t="s">
        <v>2925</v>
      </c>
    </row>
    <row r="1501" spans="1:19" x14ac:dyDescent="0.3">
      <c r="A1501" s="1">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1">
        <v>45786</v>
      </c>
      <c r="R1501" s="1">
        <v>45790</v>
      </c>
      <c r="S1501" t="s">
        <v>2926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1FD7F-11F0-4555-9E61-A9D810EBDBD9}">
  <dimension ref="A1"/>
  <sheetViews>
    <sheetView tabSelected="1" zoomScaleNormal="100" workbookViewId="0">
      <selection activeCell="Q32" sqref="Q32"/>
    </sheetView>
  </sheetViews>
  <sheetFormatPr defaultRowHeight="14.4" x14ac:dyDescent="0.3"/>
  <cols>
    <col min="12" max="12" width="9"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kpis</vt:lpstr>
      <vt:lpstr>bar</vt:lpstr>
      <vt:lpstr>Discount</vt:lpstr>
      <vt:lpstr>promotion </vt:lpstr>
      <vt:lpstr>Region pie</vt:lpstr>
      <vt:lpstr>Return item</vt:lpstr>
      <vt:lpstr>Manager bar</vt:lpstr>
      <vt:lpstr>salesman</vt:lpstr>
      <vt:lpstr>donut</vt:lpstr>
      <vt:lpstr>store sales</vt:lpstr>
      <vt:lpstr>sales trend</vt:lpstr>
      <vt:lpstr>Detail1</vt:lpstr>
      <vt:lpstr>payment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Risit Sahoo</cp:lastModifiedBy>
  <dcterms:created xsi:type="dcterms:W3CDTF">2025-06-21T13:19:11Z</dcterms:created>
  <dcterms:modified xsi:type="dcterms:W3CDTF">2025-10-12T06:25:10Z</dcterms:modified>
</cp:coreProperties>
</file>